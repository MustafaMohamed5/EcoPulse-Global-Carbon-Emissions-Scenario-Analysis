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C16BD7E-159B-424D-B78D-48D0C4A654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untry_Dimension_Master" sheetId="1" r:id="rId1"/>
    <sheet name="Data Dictionary" sheetId="2" r:id="rId2"/>
    <sheet name="Validation Summary" sheetId="3" r:id="rId3"/>
  </sheets>
  <definedNames>
    <definedName name="_xlnm._FilterDatabase" localSheetId="0" hidden="1">Country_Dimension_Master!$A$1:$AD$153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<sst xmlns="http://schemas.openxmlformats.org/spreadsheetml/2006/main" count="4556" uniqueCount="709">
  <si>
    <t>Country</t>
  </si>
  <si>
    <t>Country_Official_Name</t>
  </si>
  <si>
    <t>ISO2</t>
  </si>
  <si>
    <t>ISO3</t>
  </si>
  <si>
    <t>UN_M49_Code</t>
  </si>
  <si>
    <t>World</t>
  </si>
  <si>
    <t>Continent</t>
  </si>
  <si>
    <t>Subregion</t>
  </si>
  <si>
    <t>Region</t>
  </si>
  <si>
    <t>Income_Group</t>
  </si>
  <si>
    <t>OECD_Status</t>
  </si>
  <si>
    <t>OECD_Member</t>
  </si>
  <si>
    <t>Annex_I</t>
  </si>
  <si>
    <t>Annex_II</t>
  </si>
  <si>
    <t>Non_Annex_I</t>
  </si>
  <si>
    <t>Annex_B_Kyoto</t>
  </si>
  <si>
    <t>Kyoto_Party</t>
  </si>
  <si>
    <t>EU_27</t>
  </si>
  <si>
    <t>European_Union</t>
  </si>
  <si>
    <t>G7</t>
  </si>
  <si>
    <t>G8_Historic</t>
  </si>
  <si>
    <t>G20</t>
  </si>
  <si>
    <t>BRICS</t>
  </si>
  <si>
    <t>OECD_Europe</t>
  </si>
  <si>
    <t>OECD_Americas</t>
  </si>
  <si>
    <t>OECD_Asia_Oceania</t>
  </si>
  <si>
    <t>Non_OECD_Europe_Eurasia</t>
  </si>
  <si>
    <t>IEA_Group</t>
  </si>
  <si>
    <t>IEA_Region</t>
  </si>
  <si>
    <t>IEA_Accession_Association</t>
  </si>
  <si>
    <t>Canada</t>
  </si>
  <si>
    <t>CA</t>
  </si>
  <si>
    <t>CAN</t>
  </si>
  <si>
    <t>Americas</t>
  </si>
  <si>
    <t>Northern America</t>
  </si>
  <si>
    <t>OECD Americas</t>
  </si>
  <si>
    <t>High Income</t>
  </si>
  <si>
    <t>OECD</t>
  </si>
  <si>
    <t>Yes</t>
  </si>
  <si>
    <t>No</t>
  </si>
  <si>
    <t>Chile</t>
  </si>
  <si>
    <t>Republic of Chile</t>
  </si>
  <si>
    <t>CL</t>
  </si>
  <si>
    <t>CHL</t>
  </si>
  <si>
    <t>Latin America and the Caribbean</t>
  </si>
  <si>
    <t>Upper Middle Income</t>
  </si>
  <si>
    <t>Colombia</t>
  </si>
  <si>
    <t>Republic of Colombia</t>
  </si>
  <si>
    <t>CO</t>
  </si>
  <si>
    <t>COL</t>
  </si>
  <si>
    <t>Costa Rica</t>
  </si>
  <si>
    <t>Republic of Costa Rica</t>
  </si>
  <si>
    <t>CR</t>
  </si>
  <si>
    <t>CRI</t>
  </si>
  <si>
    <t>Mexico</t>
  </si>
  <si>
    <t>United Mexican States</t>
  </si>
  <si>
    <t>MX</t>
  </si>
  <si>
    <t>MEX</t>
  </si>
  <si>
    <t>United States</t>
  </si>
  <si>
    <t>United States of America</t>
  </si>
  <si>
    <t>US</t>
  </si>
  <si>
    <t>USA</t>
  </si>
  <si>
    <t>Australia</t>
  </si>
  <si>
    <t>Commonwealth of Australia</t>
  </si>
  <si>
    <t>AU</t>
  </si>
  <si>
    <t>AUS</t>
  </si>
  <si>
    <t>Oceania</t>
  </si>
  <si>
    <t>Australia and New Zealand</t>
  </si>
  <si>
    <t>OECD Asia Oceania</t>
  </si>
  <si>
    <t>Israel</t>
  </si>
  <si>
    <t>State of Israel</t>
  </si>
  <si>
    <t>IL</t>
  </si>
  <si>
    <t>ISR</t>
  </si>
  <si>
    <t>Asia</t>
  </si>
  <si>
    <t>Western Asia</t>
  </si>
  <si>
    <t>Japan</t>
  </si>
  <si>
    <t>JP</t>
  </si>
  <si>
    <t>JPN</t>
  </si>
  <si>
    <t>Eastern Asia</t>
  </si>
  <si>
    <t>Korea</t>
  </si>
  <si>
    <t>Republic of Korea</t>
  </si>
  <si>
    <t>KR</t>
  </si>
  <si>
    <t>KOR</t>
  </si>
  <si>
    <t>New Zealand</t>
  </si>
  <si>
    <t>NZ</t>
  </si>
  <si>
    <t>NZL</t>
  </si>
  <si>
    <t>Austria</t>
  </si>
  <si>
    <t>Republic of Austria</t>
  </si>
  <si>
    <t>AT</t>
  </si>
  <si>
    <t>AUT</t>
  </si>
  <si>
    <t>Europe</t>
  </si>
  <si>
    <t>Western Europe</t>
  </si>
  <si>
    <t>OECD Europe</t>
  </si>
  <si>
    <t>European Union - 27</t>
  </si>
  <si>
    <t>Belgium</t>
  </si>
  <si>
    <t>Kingdom of Belgium</t>
  </si>
  <si>
    <t>BE</t>
  </si>
  <si>
    <t>BEL</t>
  </si>
  <si>
    <t>Czech Republic</t>
  </si>
  <si>
    <t>CZ</t>
  </si>
  <si>
    <t>CZE</t>
  </si>
  <si>
    <t>Eastern Europe</t>
  </si>
  <si>
    <t>Denmark</t>
  </si>
  <si>
    <t>Kingdom of Denmark</t>
  </si>
  <si>
    <t>DK</t>
  </si>
  <si>
    <t>DNK</t>
  </si>
  <si>
    <t>Northern Europe</t>
  </si>
  <si>
    <t>Estonia</t>
  </si>
  <si>
    <t>Republic of Estonia</t>
  </si>
  <si>
    <t>EE</t>
  </si>
  <si>
    <t>EST</t>
  </si>
  <si>
    <t>Finland</t>
  </si>
  <si>
    <t>Republic of Finland</t>
  </si>
  <si>
    <t>FI</t>
  </si>
  <si>
    <t>FIN</t>
  </si>
  <si>
    <t>France</t>
  </si>
  <si>
    <t>French Republic</t>
  </si>
  <si>
    <t>FR</t>
  </si>
  <si>
    <t>FRA</t>
  </si>
  <si>
    <t>Germany</t>
  </si>
  <si>
    <t>Federal Republic of Germany</t>
  </si>
  <si>
    <t>DE</t>
  </si>
  <si>
    <t>DEU</t>
  </si>
  <si>
    <t>Greece</t>
  </si>
  <si>
    <t>Hellenic Republic</t>
  </si>
  <si>
    <t>GR</t>
  </si>
  <si>
    <t>GRC</t>
  </si>
  <si>
    <t>Southern Europe</t>
  </si>
  <si>
    <t>Hungary</t>
  </si>
  <si>
    <t>HU</t>
  </si>
  <si>
    <t>HUN</t>
  </si>
  <si>
    <t>Iceland</t>
  </si>
  <si>
    <t>IS</t>
  </si>
  <si>
    <t>ISL</t>
  </si>
  <si>
    <t>Ireland</t>
  </si>
  <si>
    <t>IE</t>
  </si>
  <si>
    <t>IRL</t>
  </si>
  <si>
    <t>Italy</t>
  </si>
  <si>
    <t>Italian Republic</t>
  </si>
  <si>
    <t>IT</t>
  </si>
  <si>
    <t>ITA</t>
  </si>
  <si>
    <t>Latvia</t>
  </si>
  <si>
    <t>Republic of Latvia</t>
  </si>
  <si>
    <t>LV</t>
  </si>
  <si>
    <t>LVA</t>
  </si>
  <si>
    <t>Lithuania</t>
  </si>
  <si>
    <t>Republic of Lithuania</t>
  </si>
  <si>
    <t>LT</t>
  </si>
  <si>
    <t>LTU</t>
  </si>
  <si>
    <t>Luxembourg</t>
  </si>
  <si>
    <t>Grand Duchy of Luxembourg</t>
  </si>
  <si>
    <t>LU</t>
  </si>
  <si>
    <t>LUX</t>
  </si>
  <si>
    <t>Netherlands</t>
  </si>
  <si>
    <t>Kingdom of the Netherlands</t>
  </si>
  <si>
    <t>NL</t>
  </si>
  <si>
    <t>NLD</t>
  </si>
  <si>
    <t>Norway</t>
  </si>
  <si>
    <t>Kingdom of Norway</t>
  </si>
  <si>
    <t>NO</t>
  </si>
  <si>
    <t>NOR</t>
  </si>
  <si>
    <t>Poland</t>
  </si>
  <si>
    <t>Republic of Poland</t>
  </si>
  <si>
    <t>PL</t>
  </si>
  <si>
    <t>POL</t>
  </si>
  <si>
    <t>Portugal</t>
  </si>
  <si>
    <t>Portuguese Republic</t>
  </si>
  <si>
    <t>PT</t>
  </si>
  <si>
    <t>PRT</t>
  </si>
  <si>
    <t>Slovak Republic</t>
  </si>
  <si>
    <t>SK</t>
  </si>
  <si>
    <t>SVK</t>
  </si>
  <si>
    <t>Slovenia</t>
  </si>
  <si>
    <t>Republic of Slovenia</t>
  </si>
  <si>
    <t>SI</t>
  </si>
  <si>
    <t>SVN</t>
  </si>
  <si>
    <t>Spain</t>
  </si>
  <si>
    <t>Kingdom of Spain</t>
  </si>
  <si>
    <t>ES</t>
  </si>
  <si>
    <t>ESP</t>
  </si>
  <si>
    <t>Sweden</t>
  </si>
  <si>
    <t>Kingdom of Sweden</t>
  </si>
  <si>
    <t>SE</t>
  </si>
  <si>
    <t>SWE</t>
  </si>
  <si>
    <t>Switzerland</t>
  </si>
  <si>
    <t>Swiss Confederation</t>
  </si>
  <si>
    <t>CH</t>
  </si>
  <si>
    <t>CHE</t>
  </si>
  <si>
    <t>Republic of Türkiye</t>
  </si>
  <si>
    <t>TR</t>
  </si>
  <si>
    <t>TUR</t>
  </si>
  <si>
    <t>United Kingdom</t>
  </si>
  <si>
    <t>United Kingdom of Great Britain and Northern Ireland</t>
  </si>
  <si>
    <t>GB</t>
  </si>
  <si>
    <t>GBR</t>
  </si>
  <si>
    <t>Albania</t>
  </si>
  <si>
    <t>Republic of Albania</t>
  </si>
  <si>
    <t>AL</t>
  </si>
  <si>
    <t>ALB</t>
  </si>
  <si>
    <t>Non-OECD Europe and Eurasia</t>
  </si>
  <si>
    <t>Non-OECD</t>
  </si>
  <si>
    <t>Armenia</t>
  </si>
  <si>
    <t>Republic of Armenia</t>
  </si>
  <si>
    <t>AM</t>
  </si>
  <si>
    <t>ARM</t>
  </si>
  <si>
    <t>Azerbaijan</t>
  </si>
  <si>
    <t>Republic of Azerbaijan</t>
  </si>
  <si>
    <t>AZ</t>
  </si>
  <si>
    <t>AZE</t>
  </si>
  <si>
    <t>Belarus</t>
  </si>
  <si>
    <t>Republic of Belarus</t>
  </si>
  <si>
    <t>BY</t>
  </si>
  <si>
    <t>BLR</t>
  </si>
  <si>
    <t>Bosnia and Herzegovina</t>
  </si>
  <si>
    <t>BA</t>
  </si>
  <si>
    <t>BIH</t>
  </si>
  <si>
    <t>Bulgaria</t>
  </si>
  <si>
    <t>Republic of Bulgaria</t>
  </si>
  <si>
    <t>BG</t>
  </si>
  <si>
    <t>BGR</t>
  </si>
  <si>
    <t>Croatia</t>
  </si>
  <si>
    <t>Republic of Croatia</t>
  </si>
  <si>
    <t>HR</t>
  </si>
  <si>
    <t>HRV</t>
  </si>
  <si>
    <t>Cyprus</t>
  </si>
  <si>
    <t>Republic of Cyprus</t>
  </si>
  <si>
    <t>CY</t>
  </si>
  <si>
    <t>CYP</t>
  </si>
  <si>
    <t>Georgia</t>
  </si>
  <si>
    <t>GE</t>
  </si>
  <si>
    <t>GEO</t>
  </si>
  <si>
    <t>Gibraltar</t>
  </si>
  <si>
    <t>GI</t>
  </si>
  <si>
    <t>GIB</t>
  </si>
  <si>
    <t>Kazakhstan</t>
  </si>
  <si>
    <t>Republic of Kazakhstan</t>
  </si>
  <si>
    <t>KZ</t>
  </si>
  <si>
    <t>KAZ</t>
  </si>
  <si>
    <t>Central Asia</t>
  </si>
  <si>
    <t>Kosovo</t>
  </si>
  <si>
    <t>Republic of Kosovo</t>
  </si>
  <si>
    <t>XK</t>
  </si>
  <si>
    <t>N/A</t>
  </si>
  <si>
    <t>Kyrgyzstan</t>
  </si>
  <si>
    <t>Kyrgyz Republic</t>
  </si>
  <si>
    <t>KG</t>
  </si>
  <si>
    <t>KGZ</t>
  </si>
  <si>
    <t>Lower Middle Income</t>
  </si>
  <si>
    <t>Malta</t>
  </si>
  <si>
    <t>Republic of Malta</t>
  </si>
  <si>
    <t>MT</t>
  </si>
  <si>
    <t>MLT</t>
  </si>
  <si>
    <t>Republic of Moldova</t>
  </si>
  <si>
    <t>MD</t>
  </si>
  <si>
    <t>MDA</t>
  </si>
  <si>
    <t>Montenegro</t>
  </si>
  <si>
    <t>ME</t>
  </si>
  <si>
    <t>MNE</t>
  </si>
  <si>
    <t>Republic of North Macedonia</t>
  </si>
  <si>
    <t>MK</t>
  </si>
  <si>
    <t>MKD</t>
  </si>
  <si>
    <t>Romania</t>
  </si>
  <si>
    <t>RO</t>
  </si>
  <si>
    <t>ROU</t>
  </si>
  <si>
    <t>Russian Federation</t>
  </si>
  <si>
    <t>RU</t>
  </si>
  <si>
    <t>RUS</t>
  </si>
  <si>
    <t>G8</t>
  </si>
  <si>
    <t>Serbia</t>
  </si>
  <si>
    <t>Republic of Serbia</t>
  </si>
  <si>
    <t>RS</t>
  </si>
  <si>
    <t>SRB</t>
  </si>
  <si>
    <t>Tajikistan</t>
  </si>
  <si>
    <t>Republic of Tajikistan</t>
  </si>
  <si>
    <t>TJ</t>
  </si>
  <si>
    <t>TJK</t>
  </si>
  <si>
    <t>Turkmenistan</t>
  </si>
  <si>
    <t>TM</t>
  </si>
  <si>
    <t>TKM</t>
  </si>
  <si>
    <t>Ukraine</t>
  </si>
  <si>
    <t>UA</t>
  </si>
  <si>
    <t>UKR</t>
  </si>
  <si>
    <t>Uzbekistan</t>
  </si>
  <si>
    <t>Republic of Uzbekistan</t>
  </si>
  <si>
    <t>UZ</t>
  </si>
  <si>
    <t>UZB</t>
  </si>
  <si>
    <t>Algeria</t>
  </si>
  <si>
    <t>People's Democratic Republic of Algeria</t>
  </si>
  <si>
    <t>DZ</t>
  </si>
  <si>
    <t>DZA</t>
  </si>
  <si>
    <t>Africa</t>
  </si>
  <si>
    <t>Northern Africa</t>
  </si>
  <si>
    <t>Angola</t>
  </si>
  <si>
    <t>Republic of Angola</t>
  </si>
  <si>
    <t>AO</t>
  </si>
  <si>
    <t>AGO</t>
  </si>
  <si>
    <t>Sub-Saharan Africa</t>
  </si>
  <si>
    <t>Benin</t>
  </si>
  <si>
    <t>Republic of Benin</t>
  </si>
  <si>
    <t>BJ</t>
  </si>
  <si>
    <t>BEN</t>
  </si>
  <si>
    <t>Botswana</t>
  </si>
  <si>
    <t>Republic of Botswana</t>
  </si>
  <si>
    <t>BW</t>
  </si>
  <si>
    <t>BWA</t>
  </si>
  <si>
    <t>Cameroon</t>
  </si>
  <si>
    <t>Republic of Cameroon</t>
  </si>
  <si>
    <t>CM</t>
  </si>
  <si>
    <t>CMR</t>
  </si>
  <si>
    <t>Congo</t>
  </si>
  <si>
    <t>Republic of the Congo</t>
  </si>
  <si>
    <t>CG</t>
  </si>
  <si>
    <t>COG</t>
  </si>
  <si>
    <t>Côte d'Ivoire</t>
  </si>
  <si>
    <t>Republic of Côte d'Ivoire</t>
  </si>
  <si>
    <t>CI</t>
  </si>
  <si>
    <t>CIV</t>
  </si>
  <si>
    <t>Dem. Rep. of Congo</t>
  </si>
  <si>
    <t>Democratic Republic of the Congo</t>
  </si>
  <si>
    <t>CD</t>
  </si>
  <si>
    <t>COD</t>
  </si>
  <si>
    <t>Low Income</t>
  </si>
  <si>
    <t>Egypt</t>
  </si>
  <si>
    <t>Arab Republic of Egypt</t>
  </si>
  <si>
    <t>EG</t>
  </si>
  <si>
    <t>EGY</t>
  </si>
  <si>
    <t>Equatorial Guinea</t>
  </si>
  <si>
    <t>Republic of Equatorial Guinea</t>
  </si>
  <si>
    <t>GQ</t>
  </si>
  <si>
    <t>GNQ</t>
  </si>
  <si>
    <t>Eritrea</t>
  </si>
  <si>
    <t>State of Eritrea</t>
  </si>
  <si>
    <t>ER</t>
  </si>
  <si>
    <t>ERI</t>
  </si>
  <si>
    <t>Kingdom of Eswatini</t>
  </si>
  <si>
    <t>SZ</t>
  </si>
  <si>
    <t>SWZ</t>
  </si>
  <si>
    <t>Ethiopia</t>
  </si>
  <si>
    <t>Federal Democratic Republic of Ethiopia</t>
  </si>
  <si>
    <t>ET</t>
  </si>
  <si>
    <t>ETH</t>
  </si>
  <si>
    <t>Gabon</t>
  </si>
  <si>
    <t>Gabonese Republic</t>
  </si>
  <si>
    <t>GA</t>
  </si>
  <si>
    <t>GAB</t>
  </si>
  <si>
    <t>Ghana</t>
  </si>
  <si>
    <t>Republic of Ghana</t>
  </si>
  <si>
    <t>GH</t>
  </si>
  <si>
    <t>GHA</t>
  </si>
  <si>
    <t>Kenya</t>
  </si>
  <si>
    <t>Republic of Kenya</t>
  </si>
  <si>
    <t>KE</t>
  </si>
  <si>
    <t>KEN</t>
  </si>
  <si>
    <t>Libya</t>
  </si>
  <si>
    <t>State of Libya</t>
  </si>
  <si>
    <t>LY</t>
  </si>
  <si>
    <t>LBY</t>
  </si>
  <si>
    <t>Madagascar</t>
  </si>
  <si>
    <t>Republic of Madagascar</t>
  </si>
  <si>
    <t>MG</t>
  </si>
  <si>
    <t>MDG</t>
  </si>
  <si>
    <t>Mauritius</t>
  </si>
  <si>
    <t>Republic of Mauritius</t>
  </si>
  <si>
    <t>MU</t>
  </si>
  <si>
    <t>MUS</t>
  </si>
  <si>
    <t>Morocco</t>
  </si>
  <si>
    <t>Kingdom of Morocco</t>
  </si>
  <si>
    <t>MA</t>
  </si>
  <si>
    <t>MAR</t>
  </si>
  <si>
    <t>Mozambique</t>
  </si>
  <si>
    <t>Republic of Mozambique</t>
  </si>
  <si>
    <t>MZ</t>
  </si>
  <si>
    <t>MOZ</t>
  </si>
  <si>
    <t>Namibia</t>
  </si>
  <si>
    <t>Republic of Namibia</t>
  </si>
  <si>
    <t>NA</t>
  </si>
  <si>
    <t>NAM</t>
  </si>
  <si>
    <t>Niger</t>
  </si>
  <si>
    <t>Republic of Niger</t>
  </si>
  <si>
    <t>NE</t>
  </si>
  <si>
    <t>NER</t>
  </si>
  <si>
    <t>Nigeria</t>
  </si>
  <si>
    <t>Federal Republic of Nigeria</t>
  </si>
  <si>
    <t>NG</t>
  </si>
  <si>
    <t>NGA</t>
  </si>
  <si>
    <t>Rwanda</t>
  </si>
  <si>
    <t>Republic of Rwanda</t>
  </si>
  <si>
    <t>RW</t>
  </si>
  <si>
    <t>RWA</t>
  </si>
  <si>
    <t>Senegal</t>
  </si>
  <si>
    <t>Republic of Senegal</t>
  </si>
  <si>
    <t>SN</t>
  </si>
  <si>
    <t>SEN</t>
  </si>
  <si>
    <t>South Africa</t>
  </si>
  <si>
    <t>Republic of South Africa</t>
  </si>
  <si>
    <t>ZA</t>
  </si>
  <si>
    <t>ZAF</t>
  </si>
  <si>
    <t>South Sudan</t>
  </si>
  <si>
    <t>Republic of South Sudan</t>
  </si>
  <si>
    <t>SS</t>
  </si>
  <si>
    <t>SSD</t>
  </si>
  <si>
    <t>Sudan</t>
  </si>
  <si>
    <t>Republic of the Sudan</t>
  </si>
  <si>
    <t>SD</t>
  </si>
  <si>
    <t>SDN</t>
  </si>
  <si>
    <t>United Rep. of Tanzania</t>
  </si>
  <si>
    <t>United Republic of Tanzania</t>
  </si>
  <si>
    <t>TZ</t>
  </si>
  <si>
    <t>TZA</t>
  </si>
  <si>
    <t>Togo</t>
  </si>
  <si>
    <t>Togolese Republic</t>
  </si>
  <si>
    <t>TG</t>
  </si>
  <si>
    <t>TGO</t>
  </si>
  <si>
    <t>Tunisia</t>
  </si>
  <si>
    <t>Republic of Tunisia</t>
  </si>
  <si>
    <t>TN</t>
  </si>
  <si>
    <t>TUN</t>
  </si>
  <si>
    <t>Uganda</t>
  </si>
  <si>
    <t>Republic of Uganda</t>
  </si>
  <si>
    <t>UG</t>
  </si>
  <si>
    <t>UGA</t>
  </si>
  <si>
    <t>Zambia</t>
  </si>
  <si>
    <t>Republic of Zambia</t>
  </si>
  <si>
    <t>ZM</t>
  </si>
  <si>
    <t>ZMB</t>
  </si>
  <si>
    <t>Zimbabwe</t>
  </si>
  <si>
    <t>Republic of Zimbabwe</t>
  </si>
  <si>
    <t>ZW</t>
  </si>
  <si>
    <t>ZWE</t>
  </si>
  <si>
    <t>Bangladesh</t>
  </si>
  <si>
    <t>People's Republic of Bangladesh</t>
  </si>
  <si>
    <t>BD</t>
  </si>
  <si>
    <t>BGD</t>
  </si>
  <si>
    <t>Southern Asia</t>
  </si>
  <si>
    <t>Asia (excl. China)</t>
  </si>
  <si>
    <t>Brunei Darussalam</t>
  </si>
  <si>
    <t>BN</t>
  </si>
  <si>
    <t>BRN</t>
  </si>
  <si>
    <t>South-eastern Asia</t>
  </si>
  <si>
    <t>Cambodia</t>
  </si>
  <si>
    <t>Kingdom of Cambodia</t>
  </si>
  <si>
    <t>KH</t>
  </si>
  <si>
    <t>KHM</t>
  </si>
  <si>
    <t>DPR of Korea</t>
  </si>
  <si>
    <t>Democratic People's Republic of Korea</t>
  </si>
  <si>
    <t>KP</t>
  </si>
  <si>
    <t>PRK</t>
  </si>
  <si>
    <t>India</t>
  </si>
  <si>
    <t>Republic of India</t>
  </si>
  <si>
    <t>IN</t>
  </si>
  <si>
    <t>IND</t>
  </si>
  <si>
    <t>Indonesia</t>
  </si>
  <si>
    <t>Republic of Indonesia</t>
  </si>
  <si>
    <t>ID</t>
  </si>
  <si>
    <t>IDN</t>
  </si>
  <si>
    <t>Lao People's Democratic Republic</t>
  </si>
  <si>
    <t>LA</t>
  </si>
  <si>
    <t>LAO</t>
  </si>
  <si>
    <t>Malaysia</t>
  </si>
  <si>
    <t>MY</t>
  </si>
  <si>
    <t>MYS</t>
  </si>
  <si>
    <t>Mongolia</t>
  </si>
  <si>
    <t>MN</t>
  </si>
  <si>
    <t>MNG</t>
  </si>
  <si>
    <t>Myanmar</t>
  </si>
  <si>
    <t>Republic of the Union of Myanmar</t>
  </si>
  <si>
    <t>MM</t>
  </si>
  <si>
    <t>MMR</t>
  </si>
  <si>
    <t>Nepal</t>
  </si>
  <si>
    <t>Federal Democratic Republic of Nepal</t>
  </si>
  <si>
    <t>NP</t>
  </si>
  <si>
    <t>NPL</t>
  </si>
  <si>
    <t>Pakistan</t>
  </si>
  <si>
    <t>Islamic Republic of Pakistan</t>
  </si>
  <si>
    <t>PK</t>
  </si>
  <si>
    <t>PAK</t>
  </si>
  <si>
    <t>Philippines</t>
  </si>
  <si>
    <t>Republic of the Philippines</t>
  </si>
  <si>
    <t>PH</t>
  </si>
  <si>
    <t>PHL</t>
  </si>
  <si>
    <t>Singapore</t>
  </si>
  <si>
    <t>Republic of Singapore</t>
  </si>
  <si>
    <t>SG</t>
  </si>
  <si>
    <t>SGP</t>
  </si>
  <si>
    <t>Sri Lanka</t>
  </si>
  <si>
    <t>Democratic Socialist Republic of Sri Lanka</t>
  </si>
  <si>
    <t>LK</t>
  </si>
  <si>
    <t>LKA</t>
  </si>
  <si>
    <t>Chinese Taipei</t>
  </si>
  <si>
    <t>Taiwan, Province of China</t>
  </si>
  <si>
    <t>TW</t>
  </si>
  <si>
    <t>TWN</t>
  </si>
  <si>
    <t>Thailand</t>
  </si>
  <si>
    <t>Kingdom of Thailand</t>
  </si>
  <si>
    <t>TH</t>
  </si>
  <si>
    <t>THA</t>
  </si>
  <si>
    <t>Viet Nam</t>
  </si>
  <si>
    <t>Socialist Republic of Viet Nam</t>
  </si>
  <si>
    <t>VN</t>
  </si>
  <si>
    <t>VNM</t>
  </si>
  <si>
    <t>People's Republic of China</t>
  </si>
  <si>
    <t>CN</t>
  </si>
  <si>
    <t>CHN</t>
  </si>
  <si>
    <t>China (incl. Hong Kong, China)</t>
  </si>
  <si>
    <t>Hong Kong, China</t>
  </si>
  <si>
    <t>Hong Kong Special Administrative Region of China</t>
  </si>
  <si>
    <t>HK</t>
  </si>
  <si>
    <t>HKG</t>
  </si>
  <si>
    <t>Argentina</t>
  </si>
  <si>
    <t>Argentine Republic</t>
  </si>
  <si>
    <t>AR</t>
  </si>
  <si>
    <t>ARG</t>
  </si>
  <si>
    <t>Non-OECD Americas</t>
  </si>
  <si>
    <t>Bolivia</t>
  </si>
  <si>
    <t>Plurinational State of Bolivia</t>
  </si>
  <si>
    <t>BO</t>
  </si>
  <si>
    <t>BOL</t>
  </si>
  <si>
    <t>Brazil</t>
  </si>
  <si>
    <t>Federative Republic of Brazil</t>
  </si>
  <si>
    <t>BR</t>
  </si>
  <si>
    <t>BRA</t>
  </si>
  <si>
    <t>Cuba</t>
  </si>
  <si>
    <t>Republic of Cuba</t>
  </si>
  <si>
    <t>CU</t>
  </si>
  <si>
    <t>CUB</t>
  </si>
  <si>
    <t>Curaçao</t>
  </si>
  <si>
    <t>CW</t>
  </si>
  <si>
    <t>CUW</t>
  </si>
  <si>
    <t>Dominican Republic</t>
  </si>
  <si>
    <t>DO</t>
  </si>
  <si>
    <t>DOM</t>
  </si>
  <si>
    <t>Ecuador</t>
  </si>
  <si>
    <t>Republic of Ecuador</t>
  </si>
  <si>
    <t>EC</t>
  </si>
  <si>
    <t>ECU</t>
  </si>
  <si>
    <t>El Salvador</t>
  </si>
  <si>
    <t>Republic of El Salvador</t>
  </si>
  <si>
    <t>SV</t>
  </si>
  <si>
    <t>SLV</t>
  </si>
  <si>
    <t>Guatemala</t>
  </si>
  <si>
    <t>Republic of Guatemala</t>
  </si>
  <si>
    <t>GT</t>
  </si>
  <si>
    <t>GTM</t>
  </si>
  <si>
    <t>Guyana</t>
  </si>
  <si>
    <t>Co-operative Republic of Guyana</t>
  </si>
  <si>
    <t>GY</t>
  </si>
  <si>
    <t>GUY</t>
  </si>
  <si>
    <t>Haiti</t>
  </si>
  <si>
    <t>Republic of Haiti</t>
  </si>
  <si>
    <t>HT</t>
  </si>
  <si>
    <t>HTI</t>
  </si>
  <si>
    <t>Honduras</t>
  </si>
  <si>
    <t>Republic of Honduras</t>
  </si>
  <si>
    <t>HN</t>
  </si>
  <si>
    <t>HND</t>
  </si>
  <si>
    <t>Jamaica</t>
  </si>
  <si>
    <t>JM</t>
  </si>
  <si>
    <t>JAM</t>
  </si>
  <si>
    <t>Nicaragua</t>
  </si>
  <si>
    <t>Republic of Nicaragua</t>
  </si>
  <si>
    <t>NI</t>
  </si>
  <si>
    <t>NIC</t>
  </si>
  <si>
    <t>Panama</t>
  </si>
  <si>
    <t>Republic of Panama</t>
  </si>
  <si>
    <t>PA</t>
  </si>
  <si>
    <t>PAN</t>
  </si>
  <si>
    <t>Paraguay</t>
  </si>
  <si>
    <t>Republic of Paraguay</t>
  </si>
  <si>
    <t>PY</t>
  </si>
  <si>
    <t>PRY</t>
  </si>
  <si>
    <t>Peru</t>
  </si>
  <si>
    <t>Republic of Peru</t>
  </si>
  <si>
    <t>PE</t>
  </si>
  <si>
    <t>PER</t>
  </si>
  <si>
    <t>Suriname</t>
  </si>
  <si>
    <t>Republic of Suriname</t>
  </si>
  <si>
    <t>SR</t>
  </si>
  <si>
    <t>SUR</t>
  </si>
  <si>
    <t>Trinidad and Tobago</t>
  </si>
  <si>
    <t>Republic of Trinidad and Tobago</t>
  </si>
  <si>
    <t>TT</t>
  </si>
  <si>
    <t>TTO</t>
  </si>
  <si>
    <t>Uruguay</t>
  </si>
  <si>
    <t>Oriental Republic of Uruguay</t>
  </si>
  <si>
    <t>UY</t>
  </si>
  <si>
    <t>URY</t>
  </si>
  <si>
    <t>Venezuela</t>
  </si>
  <si>
    <t>Bolivarian Republic of Venezuela</t>
  </si>
  <si>
    <t>VE</t>
  </si>
  <si>
    <t>VEN</t>
  </si>
  <si>
    <t>Bahrain</t>
  </si>
  <si>
    <t>Kingdom of Bahrain</t>
  </si>
  <si>
    <t>BH</t>
  </si>
  <si>
    <t>BHR</t>
  </si>
  <si>
    <t>Middle East</t>
  </si>
  <si>
    <t>Islamic Rep. of Iran</t>
  </si>
  <si>
    <t>Islamic Republic of Iran</t>
  </si>
  <si>
    <t>IR</t>
  </si>
  <si>
    <t>IRN</t>
  </si>
  <si>
    <t>Iraq</t>
  </si>
  <si>
    <t>Republic of Iraq</t>
  </si>
  <si>
    <t>IQ</t>
  </si>
  <si>
    <t>IRQ</t>
  </si>
  <si>
    <t>Jordan</t>
  </si>
  <si>
    <t>Hashemite Kingdom of Jordan</t>
  </si>
  <si>
    <t>JO</t>
  </si>
  <si>
    <t>JOR</t>
  </si>
  <si>
    <t>Kuwait</t>
  </si>
  <si>
    <t>State of Kuwait</t>
  </si>
  <si>
    <t>KW</t>
  </si>
  <si>
    <t>KWT</t>
  </si>
  <si>
    <t>Lebanon</t>
  </si>
  <si>
    <t>Lebanese Republic</t>
  </si>
  <si>
    <t>LB</t>
  </si>
  <si>
    <t>LBN</t>
  </si>
  <si>
    <t>Oman</t>
  </si>
  <si>
    <t>Sultanate of Oman</t>
  </si>
  <si>
    <t>OM</t>
  </si>
  <si>
    <t>OMN</t>
  </si>
  <si>
    <t>Qatar</t>
  </si>
  <si>
    <t>State of Qatar</t>
  </si>
  <si>
    <t>QA</t>
  </si>
  <si>
    <t>QAT</t>
  </si>
  <si>
    <t>Saudi Arabia</t>
  </si>
  <si>
    <t>Kingdom of Saudi Arabia</t>
  </si>
  <si>
    <t>SA</t>
  </si>
  <si>
    <t>SAU</t>
  </si>
  <si>
    <t xml:space="preserve">Syrian Arab Republic </t>
  </si>
  <si>
    <t>Syrian Arab Republic</t>
  </si>
  <si>
    <t>SY</t>
  </si>
  <si>
    <t>SYR</t>
  </si>
  <si>
    <t>United Arab Emirates</t>
  </si>
  <si>
    <t>AE</t>
  </si>
  <si>
    <t>ARE</t>
  </si>
  <si>
    <t>Yemen</t>
  </si>
  <si>
    <t>Republic of Yemen</t>
  </si>
  <si>
    <t>YE</t>
  </si>
  <si>
    <t>YEM</t>
  </si>
  <si>
    <t>Column Name</t>
  </si>
  <si>
    <t>Section</t>
  </si>
  <si>
    <t>Description</t>
  </si>
  <si>
    <t>Sample Values</t>
  </si>
  <si>
    <t>Identification</t>
  </si>
  <si>
    <t>The short common name of the country/economy as specified by the IEA.</t>
  </si>
  <si>
    <t>Canada, Chile, People's Rep. of China</t>
  </si>
  <si>
    <t>The official ISO standard long-form name of the state.</t>
  </si>
  <si>
    <t>United Mexican States, French Republic</t>
  </si>
  <si>
    <t>2-letter ISO 3166-1 alpha-2 country code.</t>
  </si>
  <si>
    <t>CA, MX, CN</t>
  </si>
  <si>
    <t>3-letter ISO 3166-1 alpha-3 country code.</t>
  </si>
  <si>
    <t>CAN, MEX, CHN</t>
  </si>
  <si>
    <t>Numerical code used by the UN for statistical purposes.</t>
  </si>
  <si>
    <t>124, 484, 156</t>
  </si>
  <si>
    <t>Geography</t>
  </si>
  <si>
    <t>Constant value 'World' used for Power BI hierarchy top-level anchoring.</t>
  </si>
  <si>
    <t>The primary continent classification for international reporting.</t>
  </si>
  <si>
    <t>Americas, Europe, Asia</t>
  </si>
  <si>
    <t>The official UN M49 sub-geographical classification region.</t>
  </si>
  <si>
    <t>Northern America, Eastern Europe</t>
  </si>
  <si>
    <t>The IEA-specific geographic/economic region group.</t>
  </si>
  <si>
    <t>OECD Americas, Middle East</t>
  </si>
  <si>
    <t>World Bank classification based on GNI per capita thresholds.</t>
  </si>
  <si>
    <t>High Income, Upper Middle Income</t>
  </si>
  <si>
    <t>OECD Classification</t>
  </si>
  <si>
    <t>Distinction between members and non-members of the OECD.</t>
  </si>
  <si>
    <t>OECD, Non-OECD</t>
  </si>
  <si>
    <t>Flag indicating whether the country is a formal OECD member.</t>
  </si>
  <si>
    <t>Yes, No</t>
  </si>
  <si>
    <t>UNFCCC Classification</t>
  </si>
  <si>
    <t>Indicates if the country belongs to UNFCCC Annex I (industrialized).</t>
  </si>
  <si>
    <t>Indicates if the country belongs to UNFCCC Annex II (donor countries).</t>
  </si>
  <si>
    <t>Indicates if the country belongs to UNFCCC Non-Annex I (developing countries).</t>
  </si>
  <si>
    <t>Indicates if the country has binding targets under the Kyoto Protocol.</t>
  </si>
  <si>
    <t>Indicates if the country is a party to the Kyoto Protocol.</t>
  </si>
  <si>
    <t>International Groups</t>
  </si>
  <si>
    <t>Indicates if the country is a current member of the European Union (EU-27).</t>
  </si>
  <si>
    <t>Alias column for Power BI relationship compatibility.</t>
  </si>
  <si>
    <t>Indicates membership in the Group of Seven.</t>
  </si>
  <si>
    <t>Indicates membership in the historic Group of Eight (including Russia).</t>
  </si>
  <si>
    <t>Indicates membership in the Group of Twenty.</t>
  </si>
  <si>
    <t>Indicates membership in the BRICS block (including recent expansion).</t>
  </si>
  <si>
    <t>IEA Regions</t>
  </si>
  <si>
    <t>Flag indicating country belongs to IEA OECD Europe region.</t>
  </si>
  <si>
    <t>Flag indicating country belongs to IEA OECD Americas region.</t>
  </si>
  <si>
    <t>Flag indicating country belongs to IEA OECD Asia Oceania region.</t>
  </si>
  <si>
    <t>Flag indicating country belongs to Non-OECD Europe and Eurasia.</t>
  </si>
  <si>
    <t>IEA Classification</t>
  </si>
  <si>
    <t>The administrative classification name under the IEA data scheme.</t>
  </si>
  <si>
    <t>OECD Europe, Africa</t>
  </si>
  <si>
    <t>The macro geographical region mapped for IEA analytics.</t>
  </si>
  <si>
    <t>Europe, Africa, Americas</t>
  </si>
  <si>
    <t>Classification column group specifying macro hierarchies as required for drill-downs.</t>
  </si>
  <si>
    <t>G7, G20, Africa, Europe</t>
  </si>
  <si>
    <t>Metric / Validation Dimension</t>
  </si>
  <si>
    <t>Count / Formula</t>
  </si>
  <si>
    <t>Number of countries in Africa</t>
  </si>
  <si>
    <t>Number of countries in Americas</t>
  </si>
  <si>
    <t>Number of countries in Asia</t>
  </si>
  <si>
    <t>Number of countries in Europe</t>
  </si>
  <si>
    <t>Number of countries in Oceania</t>
  </si>
  <si>
    <t>Number of OECD countries</t>
  </si>
  <si>
    <t>Number of Annex I countries</t>
  </si>
  <si>
    <t>Number of G20 countries</t>
  </si>
  <si>
    <t>Number of EU-27 countries</t>
  </si>
  <si>
    <t>Other Africa</t>
  </si>
  <si>
    <t>Other Asia</t>
  </si>
  <si>
    <t>KOS</t>
  </si>
  <si>
    <t>TCD</t>
  </si>
  <si>
    <t>AFG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</si>
</sst>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0" fillId="0" borderId="1" xfId="0" applyBorder="1" applyAlignment="1">
      <alignment horizontal="right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3"/>
  <sheetViews>
    <sheetView tabSelected="1" topLeftCell="A142" workbookViewId="0">
      <pane xSplit="1" topLeftCell="F1" activePane="topRight" state="frozen"/>
      <selection pane="topRight" activeCell="N153" sqref="N153"/>
    </sheetView>
  </sheetViews>
  <sheetFormatPr defaultRowHeight="14.4" x14ac:dyDescent="0.3"/>
  <cols>
    <col min="1" max="1" width="35" customWidth="1"/>
    <col min="2" max="2" width="55" customWidth="1"/>
    <col min="3" max="4" width="12" customWidth="1"/>
    <col min="5" max="5" width="14" customWidth="1"/>
    <col min="6" max="7" width="12" customWidth="1"/>
    <col min="8" max="8" width="34" customWidth="1"/>
    <col min="9" max="9" width="33" customWidth="1"/>
    <col min="10" max="10" width="22" customWidth="1"/>
    <col min="11" max="12" width="14" customWidth="1"/>
    <col min="13" max="14" width="12" customWidth="1"/>
    <col min="15" max="15" width="14" customWidth="1"/>
    <col min="16" max="16" width="16" customWidth="1"/>
    <col min="17" max="17" width="14" customWidth="1"/>
    <col min="18" max="18" width="12" customWidth="1"/>
    <col min="19" max="19" width="17" customWidth="1"/>
    <col min="20" max="20" width="12" customWidth="1"/>
    <col min="21" max="21" width="14" customWidth="1"/>
    <col min="22" max="23" width="12" customWidth="1"/>
    <col min="24" max="24" width="14" customWidth="1"/>
    <col min="25" max="25" width="16" customWidth="1"/>
    <col min="26" max="26" width="20" customWidth="1"/>
    <col min="27" max="27" width="26" customWidth="1"/>
    <col min="28" max="28" width="33" customWidth="1"/>
    <col min="29" max="29" width="13" customWidth="1"/>
    <col min="30" max="30" width="28" customWidth="1"/>
  </cols>
  <sheetData>
    <row r="1" spans="1:3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 t="s">
        <v>30</v>
      </c>
      <c r="B2" s="2" t="s">
        <v>30</v>
      </c>
      <c r="C2" s="3" t="s">
        <v>31</v>
      </c>
      <c r="D2" s="3" t="s">
        <v>32</v>
      </c>
      <c r="E2" s="3">
        <v>124</v>
      </c>
      <c r="F2" s="2" t="s">
        <v>5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38</v>
      </c>
      <c r="N2" s="2" t="s">
        <v>38</v>
      </c>
      <c r="O2" s="2" t="s">
        <v>39</v>
      </c>
      <c r="P2" s="2" t="s">
        <v>38</v>
      </c>
      <c r="Q2" s="2" t="s">
        <v>38</v>
      </c>
      <c r="R2" s="2" t="s">
        <v>39</v>
      </c>
      <c r="S2" s="2" t="s">
        <v>39</v>
      </c>
      <c r="T2" s="2" t="s">
        <v>38</v>
      </c>
      <c r="U2" s="2" t="s">
        <v>38</v>
      </c>
      <c r="V2" s="2" t="s">
        <v>38</v>
      </c>
      <c r="W2" s="2" t="s">
        <v>39</v>
      </c>
      <c r="X2" s="2" t="s">
        <v>39</v>
      </c>
      <c r="Y2" s="2" t="s">
        <v>38</v>
      </c>
      <c r="Z2" s="2" t="s">
        <v>39</v>
      </c>
      <c r="AA2" s="2" t="s">
        <v>39</v>
      </c>
      <c r="AB2" s="2" t="s">
        <v>35</v>
      </c>
      <c r="AC2" s="2" t="s">
        <v>33</v>
      </c>
      <c r="AD2" s="2" t="s">
        <v>19</v>
      </c>
    </row>
    <row r="3" spans="1:30" x14ac:dyDescent="0.3">
      <c r="A3" s="4" t="s">
        <v>40</v>
      </c>
      <c r="B3" s="4" t="s">
        <v>41</v>
      </c>
      <c r="C3" s="5" t="s">
        <v>42</v>
      </c>
      <c r="D3" s="5" t="s">
        <v>43</v>
      </c>
      <c r="E3" s="5">
        <v>152</v>
      </c>
      <c r="F3" s="4" t="s">
        <v>5</v>
      </c>
      <c r="G3" s="4" t="s">
        <v>33</v>
      </c>
      <c r="H3" s="4" t="s">
        <v>44</v>
      </c>
      <c r="I3" s="4" t="s">
        <v>35</v>
      </c>
      <c r="J3" s="4" t="s">
        <v>45</v>
      </c>
      <c r="K3" s="4" t="s">
        <v>37</v>
      </c>
      <c r="L3" s="4" t="s">
        <v>38</v>
      </c>
      <c r="M3" s="4" t="s">
        <v>39</v>
      </c>
      <c r="N3" s="4" t="s">
        <v>39</v>
      </c>
      <c r="O3" s="4" t="s">
        <v>38</v>
      </c>
      <c r="P3" s="4" t="s">
        <v>39</v>
      </c>
      <c r="Q3" s="4" t="s">
        <v>38</v>
      </c>
      <c r="R3" s="4" t="s">
        <v>39</v>
      </c>
      <c r="S3" s="4" t="s">
        <v>39</v>
      </c>
      <c r="T3" s="4" t="s">
        <v>39</v>
      </c>
      <c r="U3" s="4" t="s">
        <v>39</v>
      </c>
      <c r="V3" s="4" t="s">
        <v>39</v>
      </c>
      <c r="W3" s="4" t="s">
        <v>39</v>
      </c>
      <c r="X3" s="4" t="s">
        <v>39</v>
      </c>
      <c r="Y3" s="4" t="s">
        <v>38</v>
      </c>
      <c r="Z3" s="4" t="s">
        <v>39</v>
      </c>
      <c r="AA3" s="4" t="s">
        <v>39</v>
      </c>
      <c r="AB3" s="4" t="s">
        <v>35</v>
      </c>
      <c r="AC3" s="4" t="s">
        <v>33</v>
      </c>
      <c r="AD3" s="4" t="s">
        <v>33</v>
      </c>
    </row>
    <row r="4" spans="1:30" x14ac:dyDescent="0.3">
      <c r="A4" s="2" t="s">
        <v>46</v>
      </c>
      <c r="B4" s="2" t="s">
        <v>47</v>
      </c>
      <c r="C4" s="3" t="s">
        <v>48</v>
      </c>
      <c r="D4" s="3" t="s">
        <v>49</v>
      </c>
      <c r="E4" s="3">
        <v>170</v>
      </c>
      <c r="F4" s="2" t="s">
        <v>5</v>
      </c>
      <c r="G4" s="2" t="s">
        <v>33</v>
      </c>
      <c r="H4" s="2" t="s">
        <v>44</v>
      </c>
      <c r="I4" s="2" t="s">
        <v>35</v>
      </c>
      <c r="J4" s="2" t="s">
        <v>45</v>
      </c>
      <c r="K4" s="2" t="s">
        <v>37</v>
      </c>
      <c r="L4" s="2" t="s">
        <v>38</v>
      </c>
      <c r="M4" s="2" t="s">
        <v>39</v>
      </c>
      <c r="N4" s="2" t="s">
        <v>39</v>
      </c>
      <c r="O4" s="2" t="s">
        <v>38</v>
      </c>
      <c r="P4" s="2" t="s">
        <v>39</v>
      </c>
      <c r="Q4" s="2" t="s">
        <v>38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38</v>
      </c>
      <c r="Z4" s="2" t="s">
        <v>39</v>
      </c>
      <c r="AA4" s="2" t="s">
        <v>39</v>
      </c>
      <c r="AB4" s="2" t="s">
        <v>35</v>
      </c>
      <c r="AC4" s="2" t="s">
        <v>33</v>
      </c>
      <c r="AD4" s="2" t="s">
        <v>33</v>
      </c>
    </row>
    <row r="5" spans="1:30" x14ac:dyDescent="0.3">
      <c r="A5" s="4" t="s">
        <v>50</v>
      </c>
      <c r="B5" s="4" t="s">
        <v>51</v>
      </c>
      <c r="C5" s="5" t="s">
        <v>52</v>
      </c>
      <c r="D5" s="5" t="s">
        <v>53</v>
      </c>
      <c r="E5" s="5">
        <v>188</v>
      </c>
      <c r="F5" s="4" t="s">
        <v>5</v>
      </c>
      <c r="G5" s="4" t="s">
        <v>33</v>
      </c>
      <c r="H5" s="4" t="s">
        <v>44</v>
      </c>
      <c r="I5" s="4" t="s">
        <v>35</v>
      </c>
      <c r="J5" s="4" t="s">
        <v>45</v>
      </c>
      <c r="K5" s="4" t="s">
        <v>37</v>
      </c>
      <c r="L5" s="4" t="s">
        <v>38</v>
      </c>
      <c r="M5" s="4" t="s">
        <v>39</v>
      </c>
      <c r="N5" s="4" t="s">
        <v>39</v>
      </c>
      <c r="O5" s="4" t="s">
        <v>38</v>
      </c>
      <c r="P5" s="4" t="s">
        <v>39</v>
      </c>
      <c r="Q5" s="4" t="s">
        <v>38</v>
      </c>
      <c r="R5" s="4" t="s">
        <v>39</v>
      </c>
      <c r="S5" s="4" t="s">
        <v>39</v>
      </c>
      <c r="T5" s="4" t="s">
        <v>39</v>
      </c>
      <c r="U5" s="4" t="s">
        <v>39</v>
      </c>
      <c r="V5" s="4" t="s">
        <v>39</v>
      </c>
      <c r="W5" s="4" t="s">
        <v>39</v>
      </c>
      <c r="X5" s="4" t="s">
        <v>39</v>
      </c>
      <c r="Y5" s="4" t="s">
        <v>38</v>
      </c>
      <c r="Z5" s="4" t="s">
        <v>39</v>
      </c>
      <c r="AA5" s="4" t="s">
        <v>39</v>
      </c>
      <c r="AB5" s="4" t="s">
        <v>35</v>
      </c>
      <c r="AC5" s="4" t="s">
        <v>33</v>
      </c>
      <c r="AD5" s="4" t="s">
        <v>33</v>
      </c>
    </row>
    <row r="6" spans="1:30" x14ac:dyDescent="0.3">
      <c r="A6" s="2" t="s">
        <v>54</v>
      </c>
      <c r="B6" s="2" t="s">
        <v>55</v>
      </c>
      <c r="C6" s="3" t="s">
        <v>56</v>
      </c>
      <c r="D6" s="3" t="s">
        <v>57</v>
      </c>
      <c r="E6" s="3">
        <v>484</v>
      </c>
      <c r="F6" s="2" t="s">
        <v>5</v>
      </c>
      <c r="G6" s="2" t="s">
        <v>33</v>
      </c>
      <c r="H6" s="2" t="s">
        <v>44</v>
      </c>
      <c r="I6" s="2" t="s">
        <v>35</v>
      </c>
      <c r="J6" s="2" t="s">
        <v>45</v>
      </c>
      <c r="K6" s="2" t="s">
        <v>37</v>
      </c>
      <c r="L6" s="2" t="s">
        <v>38</v>
      </c>
      <c r="M6" s="2" t="s">
        <v>39</v>
      </c>
      <c r="N6" s="2" t="s">
        <v>39</v>
      </c>
      <c r="O6" s="2" t="s">
        <v>38</v>
      </c>
      <c r="P6" s="2" t="s">
        <v>39</v>
      </c>
      <c r="Q6" s="2" t="s">
        <v>38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38</v>
      </c>
      <c r="W6" s="2" t="s">
        <v>39</v>
      </c>
      <c r="X6" s="2" t="s">
        <v>39</v>
      </c>
      <c r="Y6" s="2" t="s">
        <v>38</v>
      </c>
      <c r="Z6" s="2" t="s">
        <v>39</v>
      </c>
      <c r="AA6" s="2" t="s">
        <v>39</v>
      </c>
      <c r="AB6" s="2" t="s">
        <v>35</v>
      </c>
      <c r="AC6" s="2" t="s">
        <v>33</v>
      </c>
      <c r="AD6" s="2" t="s">
        <v>21</v>
      </c>
    </row>
    <row r="7" spans="1:30" x14ac:dyDescent="0.3">
      <c r="A7" s="4" t="s">
        <v>58</v>
      </c>
      <c r="B7" s="4" t="s">
        <v>59</v>
      </c>
      <c r="C7" s="5" t="s">
        <v>60</v>
      </c>
      <c r="D7" s="5" t="s">
        <v>61</v>
      </c>
      <c r="E7" s="5">
        <v>840</v>
      </c>
      <c r="F7" s="4" t="s">
        <v>5</v>
      </c>
      <c r="G7" s="4" t="s">
        <v>33</v>
      </c>
      <c r="H7" s="4" t="s">
        <v>34</v>
      </c>
      <c r="I7" s="4" t="s">
        <v>35</v>
      </c>
      <c r="J7" s="4" t="s">
        <v>36</v>
      </c>
      <c r="K7" s="4" t="s">
        <v>37</v>
      </c>
      <c r="L7" s="4" t="s">
        <v>38</v>
      </c>
      <c r="M7" s="4" t="s">
        <v>38</v>
      </c>
      <c r="N7" s="4" t="s">
        <v>38</v>
      </c>
      <c r="O7" s="4" t="s">
        <v>39</v>
      </c>
      <c r="P7" s="4" t="s">
        <v>38</v>
      </c>
      <c r="Q7" s="4" t="s">
        <v>38</v>
      </c>
      <c r="R7" s="4" t="s">
        <v>39</v>
      </c>
      <c r="S7" s="4" t="s">
        <v>39</v>
      </c>
      <c r="T7" s="4" t="s">
        <v>38</v>
      </c>
      <c r="U7" s="4" t="s">
        <v>38</v>
      </c>
      <c r="V7" s="4" t="s">
        <v>38</v>
      </c>
      <c r="W7" s="4" t="s">
        <v>39</v>
      </c>
      <c r="X7" s="4" t="s">
        <v>39</v>
      </c>
      <c r="Y7" s="4" t="s">
        <v>38</v>
      </c>
      <c r="Z7" s="4" t="s">
        <v>39</v>
      </c>
      <c r="AA7" s="4" t="s">
        <v>39</v>
      </c>
      <c r="AB7" s="4" t="s">
        <v>35</v>
      </c>
      <c r="AC7" s="4" t="s">
        <v>33</v>
      </c>
      <c r="AD7" s="4" t="s">
        <v>19</v>
      </c>
    </row>
    <row r="8" spans="1:30" x14ac:dyDescent="0.3">
      <c r="A8" s="2" t="s">
        <v>62</v>
      </c>
      <c r="B8" s="2" t="s">
        <v>63</v>
      </c>
      <c r="C8" s="3" t="s">
        <v>64</v>
      </c>
      <c r="D8" s="3" t="s">
        <v>65</v>
      </c>
      <c r="E8" s="3">
        <v>36</v>
      </c>
      <c r="F8" s="2" t="s">
        <v>5</v>
      </c>
      <c r="G8" s="2" t="s">
        <v>66</v>
      </c>
      <c r="H8" s="2" t="s">
        <v>67</v>
      </c>
      <c r="I8" s="2" t="s">
        <v>68</v>
      </c>
      <c r="J8" s="2" t="s">
        <v>36</v>
      </c>
      <c r="K8" s="2" t="s">
        <v>37</v>
      </c>
      <c r="L8" s="2" t="s">
        <v>38</v>
      </c>
      <c r="M8" s="2" t="s">
        <v>38</v>
      </c>
      <c r="N8" s="2" t="s">
        <v>38</v>
      </c>
      <c r="O8" s="2" t="s">
        <v>39</v>
      </c>
      <c r="P8" s="2" t="s">
        <v>38</v>
      </c>
      <c r="Q8" s="2" t="s">
        <v>38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38</v>
      </c>
      <c r="W8" s="2" t="s">
        <v>39</v>
      </c>
      <c r="X8" s="2" t="s">
        <v>39</v>
      </c>
      <c r="Y8" s="2" t="s">
        <v>39</v>
      </c>
      <c r="Z8" s="2" t="s">
        <v>38</v>
      </c>
      <c r="AA8" s="2" t="s">
        <v>39</v>
      </c>
      <c r="AB8" s="2" t="s">
        <v>68</v>
      </c>
      <c r="AC8" s="2" t="s">
        <v>66</v>
      </c>
      <c r="AD8" s="2" t="s">
        <v>21</v>
      </c>
    </row>
    <row r="9" spans="1:30" x14ac:dyDescent="0.3">
      <c r="A9" s="4" t="s">
        <v>69</v>
      </c>
      <c r="B9" s="4" t="s">
        <v>70</v>
      </c>
      <c r="C9" s="5" t="s">
        <v>71</v>
      </c>
      <c r="D9" s="5" t="s">
        <v>72</v>
      </c>
      <c r="E9" s="5">
        <v>376</v>
      </c>
      <c r="F9" s="4" t="s">
        <v>5</v>
      </c>
      <c r="G9" s="4" t="s">
        <v>73</v>
      </c>
      <c r="H9" s="4" t="s">
        <v>74</v>
      </c>
      <c r="I9" s="4" t="s">
        <v>68</v>
      </c>
      <c r="J9" s="4" t="s">
        <v>36</v>
      </c>
      <c r="K9" s="4" t="s">
        <v>37</v>
      </c>
      <c r="L9" s="4" t="s">
        <v>38</v>
      </c>
      <c r="M9" s="4" t="s">
        <v>39</v>
      </c>
      <c r="N9" s="4" t="s">
        <v>39</v>
      </c>
      <c r="O9" s="4" t="s">
        <v>38</v>
      </c>
      <c r="P9" s="4" t="s">
        <v>39</v>
      </c>
      <c r="Q9" s="4" t="s">
        <v>38</v>
      </c>
      <c r="R9" s="4" t="s">
        <v>39</v>
      </c>
      <c r="S9" s="4" t="s">
        <v>39</v>
      </c>
      <c r="T9" s="4" t="s">
        <v>39</v>
      </c>
      <c r="U9" s="4" t="s">
        <v>39</v>
      </c>
      <c r="V9" s="4" t="s">
        <v>39</v>
      </c>
      <c r="W9" s="4" t="s">
        <v>39</v>
      </c>
      <c r="X9" s="4" t="s">
        <v>39</v>
      </c>
      <c r="Y9" s="4" t="s">
        <v>39</v>
      </c>
      <c r="Z9" s="4" t="s">
        <v>38</v>
      </c>
      <c r="AA9" s="4" t="s">
        <v>39</v>
      </c>
      <c r="AB9" s="4" t="s">
        <v>68</v>
      </c>
      <c r="AC9" s="4" t="s">
        <v>73</v>
      </c>
      <c r="AD9" s="4" t="s">
        <v>73</v>
      </c>
    </row>
    <row r="10" spans="1:30" x14ac:dyDescent="0.3">
      <c r="A10" s="2" t="s">
        <v>75</v>
      </c>
      <c r="B10" s="2" t="s">
        <v>75</v>
      </c>
      <c r="C10" s="3" t="s">
        <v>76</v>
      </c>
      <c r="D10" s="3" t="s">
        <v>77</v>
      </c>
      <c r="E10" s="3">
        <v>392</v>
      </c>
      <c r="F10" s="2" t="s">
        <v>5</v>
      </c>
      <c r="G10" s="2" t="s">
        <v>73</v>
      </c>
      <c r="H10" s="2" t="s">
        <v>78</v>
      </c>
      <c r="I10" s="2" t="s">
        <v>68</v>
      </c>
      <c r="J10" s="2" t="s">
        <v>36</v>
      </c>
      <c r="K10" s="2" t="s">
        <v>37</v>
      </c>
      <c r="L10" s="2" t="s">
        <v>38</v>
      </c>
      <c r="M10" s="2" t="s">
        <v>38</v>
      </c>
      <c r="N10" s="2" t="s">
        <v>38</v>
      </c>
      <c r="O10" s="2" t="s">
        <v>39</v>
      </c>
      <c r="P10" s="2" t="s">
        <v>38</v>
      </c>
      <c r="Q10" s="2" t="s">
        <v>38</v>
      </c>
      <c r="R10" s="2" t="s">
        <v>39</v>
      </c>
      <c r="S10" s="2" t="s">
        <v>39</v>
      </c>
      <c r="T10" s="2" t="s">
        <v>38</v>
      </c>
      <c r="U10" s="2" t="s">
        <v>38</v>
      </c>
      <c r="V10" s="2" t="s">
        <v>38</v>
      </c>
      <c r="W10" s="2" t="s">
        <v>39</v>
      </c>
      <c r="X10" s="2" t="s">
        <v>39</v>
      </c>
      <c r="Y10" s="2" t="s">
        <v>39</v>
      </c>
      <c r="Z10" s="2" t="s">
        <v>38</v>
      </c>
      <c r="AA10" s="2" t="s">
        <v>39</v>
      </c>
      <c r="AB10" s="2" t="s">
        <v>68</v>
      </c>
      <c r="AC10" s="2" t="s">
        <v>73</v>
      </c>
      <c r="AD10" s="2" t="s">
        <v>19</v>
      </c>
    </row>
    <row r="11" spans="1:30" x14ac:dyDescent="0.3">
      <c r="A11" s="4" t="s">
        <v>79</v>
      </c>
      <c r="B11" s="4" t="s">
        <v>80</v>
      </c>
      <c r="C11" s="5" t="s">
        <v>81</v>
      </c>
      <c r="D11" s="5" t="s">
        <v>82</v>
      </c>
      <c r="E11" s="5">
        <v>410</v>
      </c>
      <c r="F11" s="4" t="s">
        <v>5</v>
      </c>
      <c r="G11" s="4" t="s">
        <v>73</v>
      </c>
      <c r="H11" s="4" t="s">
        <v>78</v>
      </c>
      <c r="I11" s="4" t="s">
        <v>68</v>
      </c>
      <c r="J11" s="4" t="s">
        <v>36</v>
      </c>
      <c r="K11" s="4" t="s">
        <v>37</v>
      </c>
      <c r="L11" s="4" t="s">
        <v>38</v>
      </c>
      <c r="M11" s="4" t="s">
        <v>39</v>
      </c>
      <c r="N11" s="4" t="s">
        <v>39</v>
      </c>
      <c r="O11" s="4" t="s">
        <v>38</v>
      </c>
      <c r="P11" s="4" t="s">
        <v>39</v>
      </c>
      <c r="Q11" s="4" t="s">
        <v>38</v>
      </c>
      <c r="R11" s="4" t="s">
        <v>39</v>
      </c>
      <c r="S11" s="4" t="s">
        <v>39</v>
      </c>
      <c r="T11" s="4" t="s">
        <v>39</v>
      </c>
      <c r="U11" s="4" t="s">
        <v>39</v>
      </c>
      <c r="V11" s="4" t="s">
        <v>38</v>
      </c>
      <c r="W11" s="4" t="s">
        <v>39</v>
      </c>
      <c r="X11" s="4" t="s">
        <v>39</v>
      </c>
      <c r="Y11" s="4" t="s">
        <v>39</v>
      </c>
      <c r="Z11" s="4" t="s">
        <v>38</v>
      </c>
      <c r="AA11" s="4" t="s">
        <v>39</v>
      </c>
      <c r="AB11" s="4" t="s">
        <v>68</v>
      </c>
      <c r="AC11" s="4" t="s">
        <v>73</v>
      </c>
      <c r="AD11" s="4" t="s">
        <v>21</v>
      </c>
    </row>
    <row r="12" spans="1:30" x14ac:dyDescent="0.3">
      <c r="A12" s="2" t="s">
        <v>83</v>
      </c>
      <c r="B12" s="2" t="s">
        <v>83</v>
      </c>
      <c r="C12" s="3" t="s">
        <v>84</v>
      </c>
      <c r="D12" s="3" t="s">
        <v>85</v>
      </c>
      <c r="E12" s="3">
        <v>554</v>
      </c>
      <c r="F12" s="2" t="s">
        <v>5</v>
      </c>
      <c r="G12" s="2" t="s">
        <v>66</v>
      </c>
      <c r="H12" s="2" t="s">
        <v>67</v>
      </c>
      <c r="I12" s="2" t="s">
        <v>68</v>
      </c>
      <c r="J12" s="2" t="s">
        <v>36</v>
      </c>
      <c r="K12" s="2" t="s">
        <v>37</v>
      </c>
      <c r="L12" s="2" t="s">
        <v>38</v>
      </c>
      <c r="M12" s="2" t="s">
        <v>38</v>
      </c>
      <c r="N12" s="2" t="s">
        <v>38</v>
      </c>
      <c r="O12" s="2" t="s">
        <v>39</v>
      </c>
      <c r="P12" s="2" t="s">
        <v>38</v>
      </c>
      <c r="Q12" s="2" t="s">
        <v>38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38</v>
      </c>
      <c r="AA12" s="2" t="s">
        <v>39</v>
      </c>
      <c r="AB12" s="2" t="s">
        <v>68</v>
      </c>
      <c r="AC12" s="2" t="s">
        <v>66</v>
      </c>
      <c r="AD12" s="2" t="s">
        <v>66</v>
      </c>
    </row>
    <row r="13" spans="1:30" x14ac:dyDescent="0.3">
      <c r="A13" s="4" t="s">
        <v>86</v>
      </c>
      <c r="B13" s="4" t="s">
        <v>87</v>
      </c>
      <c r="C13" s="5" t="s">
        <v>88</v>
      </c>
      <c r="D13" s="5" t="s">
        <v>89</v>
      </c>
      <c r="E13" s="5">
        <v>40</v>
      </c>
      <c r="F13" s="4" t="s">
        <v>5</v>
      </c>
      <c r="G13" s="4" t="s">
        <v>90</v>
      </c>
      <c r="H13" s="4" t="s">
        <v>91</v>
      </c>
      <c r="I13" s="4" t="s">
        <v>92</v>
      </c>
      <c r="J13" s="4" t="s">
        <v>36</v>
      </c>
      <c r="K13" s="4" t="s">
        <v>37</v>
      </c>
      <c r="L13" s="4" t="s">
        <v>38</v>
      </c>
      <c r="M13" s="4" t="s">
        <v>38</v>
      </c>
      <c r="N13" s="4" t="s">
        <v>38</v>
      </c>
      <c r="O13" s="4" t="s">
        <v>39</v>
      </c>
      <c r="P13" s="4" t="s">
        <v>38</v>
      </c>
      <c r="Q13" s="4" t="s">
        <v>38</v>
      </c>
      <c r="R13" s="4" t="s">
        <v>38</v>
      </c>
      <c r="S13" s="4" t="s">
        <v>38</v>
      </c>
      <c r="T13" s="4" t="s">
        <v>39</v>
      </c>
      <c r="U13" s="4" t="s">
        <v>39</v>
      </c>
      <c r="V13" s="4" t="s">
        <v>39</v>
      </c>
      <c r="W13" s="4" t="s">
        <v>39</v>
      </c>
      <c r="X13" s="4" t="s">
        <v>38</v>
      </c>
      <c r="Y13" s="4" t="s">
        <v>39</v>
      </c>
      <c r="Z13" s="4" t="s">
        <v>39</v>
      </c>
      <c r="AA13" s="4" t="s">
        <v>39</v>
      </c>
      <c r="AB13" s="4" t="s">
        <v>92</v>
      </c>
      <c r="AC13" s="4" t="s">
        <v>90</v>
      </c>
      <c r="AD13" s="4" t="s">
        <v>93</v>
      </c>
    </row>
    <row r="14" spans="1:30" x14ac:dyDescent="0.3">
      <c r="A14" s="2" t="s">
        <v>94</v>
      </c>
      <c r="B14" s="2" t="s">
        <v>95</v>
      </c>
      <c r="C14" s="3" t="s">
        <v>96</v>
      </c>
      <c r="D14" s="3" t="s">
        <v>97</v>
      </c>
      <c r="E14" s="3">
        <v>56</v>
      </c>
      <c r="F14" s="2" t="s">
        <v>5</v>
      </c>
      <c r="G14" s="2" t="s">
        <v>90</v>
      </c>
      <c r="H14" s="2" t="s">
        <v>91</v>
      </c>
      <c r="I14" s="2" t="s">
        <v>92</v>
      </c>
      <c r="J14" s="2" t="s">
        <v>36</v>
      </c>
      <c r="K14" s="2" t="s">
        <v>37</v>
      </c>
      <c r="L14" s="2" t="s">
        <v>38</v>
      </c>
      <c r="M14" s="2" t="s">
        <v>38</v>
      </c>
      <c r="N14" s="2" t="s">
        <v>38</v>
      </c>
      <c r="O14" s="2" t="s">
        <v>39</v>
      </c>
      <c r="P14" s="2" t="s">
        <v>38</v>
      </c>
      <c r="Q14" s="2" t="s">
        <v>38</v>
      </c>
      <c r="R14" s="2" t="s">
        <v>38</v>
      </c>
      <c r="S14" s="2" t="s">
        <v>38</v>
      </c>
      <c r="T14" s="2" t="s">
        <v>39</v>
      </c>
      <c r="U14" s="2" t="s">
        <v>39</v>
      </c>
      <c r="V14" s="2" t="s">
        <v>39</v>
      </c>
      <c r="W14" s="2" t="s">
        <v>39</v>
      </c>
      <c r="X14" s="2" t="s">
        <v>38</v>
      </c>
      <c r="Y14" s="2" t="s">
        <v>39</v>
      </c>
      <c r="Z14" s="2" t="s">
        <v>39</v>
      </c>
      <c r="AA14" s="2" t="s">
        <v>39</v>
      </c>
      <c r="AB14" s="2" t="s">
        <v>92</v>
      </c>
      <c r="AC14" s="2" t="s">
        <v>90</v>
      </c>
      <c r="AD14" s="2" t="s">
        <v>93</v>
      </c>
    </row>
    <row r="15" spans="1:30" x14ac:dyDescent="0.3">
      <c r="A15" s="4" t="s">
        <v>98</v>
      </c>
      <c r="B15" s="4" t="s">
        <v>98</v>
      </c>
      <c r="C15" s="5" t="s">
        <v>99</v>
      </c>
      <c r="D15" s="5" t="s">
        <v>100</v>
      </c>
      <c r="E15" s="5">
        <v>203</v>
      </c>
      <c r="F15" s="4" t="s">
        <v>5</v>
      </c>
      <c r="G15" s="4" t="s">
        <v>90</v>
      </c>
      <c r="H15" s="4" t="s">
        <v>101</v>
      </c>
      <c r="I15" s="4" t="s">
        <v>92</v>
      </c>
      <c r="J15" s="4" t="s">
        <v>36</v>
      </c>
      <c r="K15" s="4" t="s">
        <v>37</v>
      </c>
      <c r="L15" s="4" t="s">
        <v>38</v>
      </c>
      <c r="M15" s="4" t="s">
        <v>38</v>
      </c>
      <c r="N15" s="4" t="s">
        <v>39</v>
      </c>
      <c r="O15" s="4" t="s">
        <v>39</v>
      </c>
      <c r="P15" s="4" t="s">
        <v>38</v>
      </c>
      <c r="Q15" s="4" t="s">
        <v>38</v>
      </c>
      <c r="R15" s="4" t="s">
        <v>38</v>
      </c>
      <c r="S15" s="4" t="s">
        <v>38</v>
      </c>
      <c r="T15" s="4" t="s">
        <v>39</v>
      </c>
      <c r="U15" s="4" t="s">
        <v>39</v>
      </c>
      <c r="V15" s="4" t="s">
        <v>39</v>
      </c>
      <c r="W15" s="4" t="s">
        <v>39</v>
      </c>
      <c r="X15" s="4" t="s">
        <v>38</v>
      </c>
      <c r="Y15" s="4" t="s">
        <v>39</v>
      </c>
      <c r="Z15" s="4" t="s">
        <v>39</v>
      </c>
      <c r="AA15" s="4" t="s">
        <v>39</v>
      </c>
      <c r="AB15" s="4" t="s">
        <v>92</v>
      </c>
      <c r="AC15" s="4" t="s">
        <v>90</v>
      </c>
      <c r="AD15" s="4" t="s">
        <v>93</v>
      </c>
    </row>
    <row r="16" spans="1:30" x14ac:dyDescent="0.3">
      <c r="A16" s="2" t="s">
        <v>102</v>
      </c>
      <c r="B16" s="2" t="s">
        <v>103</v>
      </c>
      <c r="C16" s="3" t="s">
        <v>104</v>
      </c>
      <c r="D16" s="3" t="s">
        <v>105</v>
      </c>
      <c r="E16" s="3">
        <v>208</v>
      </c>
      <c r="F16" s="2" t="s">
        <v>5</v>
      </c>
      <c r="G16" s="2" t="s">
        <v>90</v>
      </c>
      <c r="H16" s="2" t="s">
        <v>106</v>
      </c>
      <c r="I16" s="2" t="s">
        <v>92</v>
      </c>
      <c r="J16" s="2" t="s">
        <v>36</v>
      </c>
      <c r="K16" s="2" t="s">
        <v>37</v>
      </c>
      <c r="L16" s="2" t="s">
        <v>38</v>
      </c>
      <c r="M16" s="2" t="s">
        <v>38</v>
      </c>
      <c r="N16" s="2" t="s">
        <v>38</v>
      </c>
      <c r="O16" s="2" t="s">
        <v>39</v>
      </c>
      <c r="P16" s="2" t="s">
        <v>38</v>
      </c>
      <c r="Q16" s="2" t="s">
        <v>38</v>
      </c>
      <c r="R16" s="2" t="s">
        <v>38</v>
      </c>
      <c r="S16" s="2" t="s">
        <v>38</v>
      </c>
      <c r="T16" s="2" t="s">
        <v>39</v>
      </c>
      <c r="U16" s="2" t="s">
        <v>39</v>
      </c>
      <c r="V16" s="2" t="s">
        <v>39</v>
      </c>
      <c r="W16" s="2" t="s">
        <v>39</v>
      </c>
      <c r="X16" s="2" t="s">
        <v>38</v>
      </c>
      <c r="Y16" s="2" t="s">
        <v>39</v>
      </c>
      <c r="Z16" s="2" t="s">
        <v>39</v>
      </c>
      <c r="AA16" s="2" t="s">
        <v>39</v>
      </c>
      <c r="AB16" s="2" t="s">
        <v>92</v>
      </c>
      <c r="AC16" s="2" t="s">
        <v>90</v>
      </c>
      <c r="AD16" s="2" t="s">
        <v>93</v>
      </c>
    </row>
    <row r="17" spans="1:30" x14ac:dyDescent="0.3">
      <c r="A17" s="4" t="s">
        <v>107</v>
      </c>
      <c r="B17" s="4" t="s">
        <v>108</v>
      </c>
      <c r="C17" s="5" t="s">
        <v>109</v>
      </c>
      <c r="D17" s="5" t="s">
        <v>110</v>
      </c>
      <c r="E17" s="5">
        <v>233</v>
      </c>
      <c r="F17" s="4" t="s">
        <v>5</v>
      </c>
      <c r="G17" s="4" t="s">
        <v>90</v>
      </c>
      <c r="H17" s="4" t="s">
        <v>106</v>
      </c>
      <c r="I17" s="4" t="s">
        <v>92</v>
      </c>
      <c r="J17" s="4" t="s">
        <v>36</v>
      </c>
      <c r="K17" s="4" t="s">
        <v>37</v>
      </c>
      <c r="L17" s="4" t="s">
        <v>38</v>
      </c>
      <c r="M17" s="4" t="s">
        <v>38</v>
      </c>
      <c r="N17" s="4" t="s">
        <v>39</v>
      </c>
      <c r="O17" s="4" t="s">
        <v>39</v>
      </c>
      <c r="P17" s="4" t="s">
        <v>38</v>
      </c>
      <c r="Q17" s="4" t="s">
        <v>38</v>
      </c>
      <c r="R17" s="4" t="s">
        <v>38</v>
      </c>
      <c r="S17" s="4" t="s">
        <v>38</v>
      </c>
      <c r="T17" s="4" t="s">
        <v>39</v>
      </c>
      <c r="U17" s="4" t="s">
        <v>39</v>
      </c>
      <c r="V17" s="4" t="s">
        <v>39</v>
      </c>
      <c r="W17" s="4" t="s">
        <v>39</v>
      </c>
      <c r="X17" s="4" t="s">
        <v>38</v>
      </c>
      <c r="Y17" s="4" t="s">
        <v>39</v>
      </c>
      <c r="Z17" s="4" t="s">
        <v>39</v>
      </c>
      <c r="AA17" s="4" t="s">
        <v>39</v>
      </c>
      <c r="AB17" s="4" t="s">
        <v>92</v>
      </c>
      <c r="AC17" s="4" t="s">
        <v>90</v>
      </c>
      <c r="AD17" s="4" t="s">
        <v>93</v>
      </c>
    </row>
    <row r="18" spans="1:30" x14ac:dyDescent="0.3">
      <c r="A18" s="2" t="s">
        <v>111</v>
      </c>
      <c r="B18" s="2" t="s">
        <v>112</v>
      </c>
      <c r="C18" s="3" t="s">
        <v>113</v>
      </c>
      <c r="D18" s="3" t="s">
        <v>114</v>
      </c>
      <c r="E18" s="3">
        <v>246</v>
      </c>
      <c r="F18" s="2" t="s">
        <v>5</v>
      </c>
      <c r="G18" s="2" t="s">
        <v>90</v>
      </c>
      <c r="H18" s="2" t="s">
        <v>106</v>
      </c>
      <c r="I18" s="2" t="s">
        <v>92</v>
      </c>
      <c r="J18" s="2" t="s">
        <v>36</v>
      </c>
      <c r="K18" s="2" t="s">
        <v>37</v>
      </c>
      <c r="L18" s="2" t="s">
        <v>38</v>
      </c>
      <c r="M18" s="2" t="s">
        <v>38</v>
      </c>
      <c r="N18" s="2" t="s">
        <v>38</v>
      </c>
      <c r="O18" s="2" t="s">
        <v>39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38</v>
      </c>
      <c r="Y18" s="2" t="s">
        <v>39</v>
      </c>
      <c r="Z18" s="2" t="s">
        <v>39</v>
      </c>
      <c r="AA18" s="2" t="s">
        <v>39</v>
      </c>
      <c r="AB18" s="2" t="s">
        <v>92</v>
      </c>
      <c r="AC18" s="2" t="s">
        <v>90</v>
      </c>
      <c r="AD18" s="2" t="s">
        <v>93</v>
      </c>
    </row>
    <row r="19" spans="1:30" x14ac:dyDescent="0.3">
      <c r="A19" s="4" t="s">
        <v>115</v>
      </c>
      <c r="B19" s="4" t="s">
        <v>116</v>
      </c>
      <c r="C19" s="5" t="s">
        <v>117</v>
      </c>
      <c r="D19" s="5" t="s">
        <v>118</v>
      </c>
      <c r="E19" s="5">
        <v>250</v>
      </c>
      <c r="F19" s="4" t="s">
        <v>5</v>
      </c>
      <c r="G19" s="4" t="s">
        <v>90</v>
      </c>
      <c r="H19" s="4" t="s">
        <v>91</v>
      </c>
      <c r="I19" s="4" t="s">
        <v>92</v>
      </c>
      <c r="J19" s="4" t="s">
        <v>36</v>
      </c>
      <c r="K19" s="4" t="s">
        <v>37</v>
      </c>
      <c r="L19" s="4" t="s">
        <v>38</v>
      </c>
      <c r="M19" s="4" t="s">
        <v>38</v>
      </c>
      <c r="N19" s="4" t="s">
        <v>38</v>
      </c>
      <c r="O19" s="4" t="s">
        <v>39</v>
      </c>
      <c r="P19" s="4" t="s">
        <v>38</v>
      </c>
      <c r="Q19" s="4" t="s">
        <v>38</v>
      </c>
      <c r="R19" s="4" t="s">
        <v>38</v>
      </c>
      <c r="S19" s="4" t="s">
        <v>38</v>
      </c>
      <c r="T19" s="4" t="s">
        <v>38</v>
      </c>
      <c r="U19" s="4" t="s">
        <v>38</v>
      </c>
      <c r="V19" s="4" t="s">
        <v>38</v>
      </c>
      <c r="W19" s="4" t="s">
        <v>39</v>
      </c>
      <c r="X19" s="4" t="s">
        <v>38</v>
      </c>
      <c r="Y19" s="4" t="s">
        <v>39</v>
      </c>
      <c r="Z19" s="4" t="s">
        <v>39</v>
      </c>
      <c r="AA19" s="4" t="s">
        <v>39</v>
      </c>
      <c r="AB19" s="4" t="s">
        <v>92</v>
      </c>
      <c r="AC19" s="4" t="s">
        <v>90</v>
      </c>
      <c r="AD19" s="4" t="s">
        <v>93</v>
      </c>
    </row>
    <row r="20" spans="1:30" x14ac:dyDescent="0.3">
      <c r="A20" s="2" t="s">
        <v>119</v>
      </c>
      <c r="B20" s="2" t="s">
        <v>120</v>
      </c>
      <c r="C20" s="3" t="s">
        <v>121</v>
      </c>
      <c r="D20" s="3" t="s">
        <v>122</v>
      </c>
      <c r="E20" s="3">
        <v>276</v>
      </c>
      <c r="F20" s="2" t="s">
        <v>5</v>
      </c>
      <c r="G20" s="2" t="s">
        <v>90</v>
      </c>
      <c r="H20" s="2" t="s">
        <v>91</v>
      </c>
      <c r="I20" s="2" t="s">
        <v>92</v>
      </c>
      <c r="J20" s="2" t="s">
        <v>36</v>
      </c>
      <c r="K20" s="2" t="s">
        <v>37</v>
      </c>
      <c r="L20" s="2" t="s">
        <v>38</v>
      </c>
      <c r="M20" s="2" t="s">
        <v>38</v>
      </c>
      <c r="N20" s="2" t="s">
        <v>38</v>
      </c>
      <c r="O20" s="2" t="s">
        <v>39</v>
      </c>
      <c r="P20" s="2" t="s">
        <v>38</v>
      </c>
      <c r="Q20" s="2" t="s">
        <v>38</v>
      </c>
      <c r="R20" s="2" t="s">
        <v>38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39</v>
      </c>
      <c r="X20" s="2" t="s">
        <v>38</v>
      </c>
      <c r="Y20" s="2" t="s">
        <v>39</v>
      </c>
      <c r="Z20" s="2" t="s">
        <v>39</v>
      </c>
      <c r="AA20" s="2" t="s">
        <v>39</v>
      </c>
      <c r="AB20" s="2" t="s">
        <v>92</v>
      </c>
      <c r="AC20" s="2" t="s">
        <v>90</v>
      </c>
      <c r="AD20" s="2" t="s">
        <v>93</v>
      </c>
    </row>
    <row r="21" spans="1:30" x14ac:dyDescent="0.3">
      <c r="A21" s="4" t="s">
        <v>123</v>
      </c>
      <c r="B21" s="4" t="s">
        <v>124</v>
      </c>
      <c r="C21" s="5" t="s">
        <v>125</v>
      </c>
      <c r="D21" s="5" t="s">
        <v>126</v>
      </c>
      <c r="E21" s="5">
        <v>300</v>
      </c>
      <c r="F21" s="4" t="s">
        <v>5</v>
      </c>
      <c r="G21" s="4" t="s">
        <v>90</v>
      </c>
      <c r="H21" s="4" t="s">
        <v>127</v>
      </c>
      <c r="I21" s="4" t="s">
        <v>92</v>
      </c>
      <c r="J21" s="4" t="s">
        <v>36</v>
      </c>
      <c r="K21" s="4" t="s">
        <v>37</v>
      </c>
      <c r="L21" s="4" t="s">
        <v>38</v>
      </c>
      <c r="M21" s="4" t="s">
        <v>38</v>
      </c>
      <c r="N21" s="4" t="s">
        <v>38</v>
      </c>
      <c r="O21" s="4" t="s">
        <v>39</v>
      </c>
      <c r="P21" s="4" t="s">
        <v>38</v>
      </c>
      <c r="Q21" s="4" t="s">
        <v>38</v>
      </c>
      <c r="R21" s="4" t="s">
        <v>38</v>
      </c>
      <c r="S21" s="4" t="s">
        <v>38</v>
      </c>
      <c r="T21" s="4" t="s">
        <v>39</v>
      </c>
      <c r="U21" s="4" t="s">
        <v>39</v>
      </c>
      <c r="V21" s="4" t="s">
        <v>39</v>
      </c>
      <c r="W21" s="4" t="s">
        <v>39</v>
      </c>
      <c r="X21" s="4" t="s">
        <v>38</v>
      </c>
      <c r="Y21" s="4" t="s">
        <v>39</v>
      </c>
      <c r="Z21" s="4" t="s">
        <v>39</v>
      </c>
      <c r="AA21" s="4" t="s">
        <v>39</v>
      </c>
      <c r="AB21" s="4" t="s">
        <v>92</v>
      </c>
      <c r="AC21" s="4" t="s">
        <v>90</v>
      </c>
      <c r="AD21" s="4" t="s">
        <v>93</v>
      </c>
    </row>
    <row r="22" spans="1:30" x14ac:dyDescent="0.3">
      <c r="A22" s="2" t="s">
        <v>128</v>
      </c>
      <c r="B22" s="2" t="s">
        <v>128</v>
      </c>
      <c r="C22" s="3" t="s">
        <v>129</v>
      </c>
      <c r="D22" s="3" t="s">
        <v>130</v>
      </c>
      <c r="E22" s="3">
        <v>348</v>
      </c>
      <c r="F22" s="2" t="s">
        <v>5</v>
      </c>
      <c r="G22" s="2" t="s">
        <v>90</v>
      </c>
      <c r="H22" s="2" t="s">
        <v>101</v>
      </c>
      <c r="I22" s="2" t="s">
        <v>92</v>
      </c>
      <c r="J22" s="2" t="s">
        <v>36</v>
      </c>
      <c r="K22" s="2" t="s">
        <v>37</v>
      </c>
      <c r="L22" s="2" t="s">
        <v>38</v>
      </c>
      <c r="M22" s="2" t="s">
        <v>38</v>
      </c>
      <c r="N22" s="2" t="s">
        <v>39</v>
      </c>
      <c r="O22" s="2" t="s">
        <v>39</v>
      </c>
      <c r="P22" s="2" t="s">
        <v>38</v>
      </c>
      <c r="Q22" s="2" t="s">
        <v>38</v>
      </c>
      <c r="R22" s="2" t="s">
        <v>38</v>
      </c>
      <c r="S22" s="2" t="s">
        <v>38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38</v>
      </c>
      <c r="Y22" s="2" t="s">
        <v>39</v>
      </c>
      <c r="Z22" s="2" t="s">
        <v>39</v>
      </c>
      <c r="AA22" s="2" t="s">
        <v>39</v>
      </c>
      <c r="AB22" s="2" t="s">
        <v>92</v>
      </c>
      <c r="AC22" s="2" t="s">
        <v>90</v>
      </c>
      <c r="AD22" s="2" t="s">
        <v>93</v>
      </c>
    </row>
    <row r="23" spans="1:30" x14ac:dyDescent="0.3">
      <c r="A23" s="4" t="s">
        <v>131</v>
      </c>
      <c r="B23" s="4" t="s">
        <v>131</v>
      </c>
      <c r="C23" s="5" t="s">
        <v>132</v>
      </c>
      <c r="D23" s="5" t="s">
        <v>133</v>
      </c>
      <c r="E23" s="5">
        <v>352</v>
      </c>
      <c r="F23" s="4" t="s">
        <v>5</v>
      </c>
      <c r="G23" s="4" t="s">
        <v>90</v>
      </c>
      <c r="H23" s="4" t="s">
        <v>106</v>
      </c>
      <c r="I23" s="4" t="s">
        <v>92</v>
      </c>
      <c r="J23" s="4" t="s">
        <v>36</v>
      </c>
      <c r="K23" s="4" t="s">
        <v>37</v>
      </c>
      <c r="L23" s="4" t="s">
        <v>38</v>
      </c>
      <c r="M23" s="4" t="s">
        <v>38</v>
      </c>
      <c r="N23" s="4" t="s">
        <v>38</v>
      </c>
      <c r="O23" s="4" t="s">
        <v>39</v>
      </c>
      <c r="P23" s="4" t="s">
        <v>38</v>
      </c>
      <c r="Q23" s="4" t="s">
        <v>38</v>
      </c>
      <c r="R23" s="4" t="s">
        <v>39</v>
      </c>
      <c r="S23" s="4" t="s">
        <v>39</v>
      </c>
      <c r="T23" s="4" t="s">
        <v>39</v>
      </c>
      <c r="U23" s="4" t="s">
        <v>39</v>
      </c>
      <c r="V23" s="4" t="s">
        <v>39</v>
      </c>
      <c r="W23" s="4" t="s">
        <v>39</v>
      </c>
      <c r="X23" s="4" t="s">
        <v>38</v>
      </c>
      <c r="Y23" s="4" t="s">
        <v>39</v>
      </c>
      <c r="Z23" s="4" t="s">
        <v>39</v>
      </c>
      <c r="AA23" s="4" t="s">
        <v>39</v>
      </c>
      <c r="AB23" s="4" t="s">
        <v>92</v>
      </c>
      <c r="AC23" s="4" t="s">
        <v>90</v>
      </c>
      <c r="AD23" s="4" t="s">
        <v>90</v>
      </c>
    </row>
    <row r="24" spans="1:30" x14ac:dyDescent="0.3">
      <c r="A24" s="2" t="s">
        <v>134</v>
      </c>
      <c r="B24" s="2" t="s">
        <v>134</v>
      </c>
      <c r="C24" s="3" t="s">
        <v>135</v>
      </c>
      <c r="D24" s="3" t="s">
        <v>136</v>
      </c>
      <c r="E24" s="3">
        <v>372</v>
      </c>
      <c r="F24" s="2" t="s">
        <v>5</v>
      </c>
      <c r="G24" s="2" t="s">
        <v>90</v>
      </c>
      <c r="H24" s="2" t="s">
        <v>106</v>
      </c>
      <c r="I24" s="2" t="s">
        <v>92</v>
      </c>
      <c r="J24" s="2" t="s">
        <v>36</v>
      </c>
      <c r="K24" s="2" t="s">
        <v>37</v>
      </c>
      <c r="L24" s="2" t="s">
        <v>38</v>
      </c>
      <c r="M24" s="2" t="s">
        <v>38</v>
      </c>
      <c r="N24" s="2" t="s">
        <v>38</v>
      </c>
      <c r="O24" s="2" t="s">
        <v>39</v>
      </c>
      <c r="P24" s="2" t="s">
        <v>38</v>
      </c>
      <c r="Q24" s="2" t="s">
        <v>38</v>
      </c>
      <c r="R24" s="2" t="s">
        <v>38</v>
      </c>
      <c r="S24" s="2" t="s">
        <v>38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38</v>
      </c>
      <c r="Y24" s="2" t="s">
        <v>39</v>
      </c>
      <c r="Z24" s="2" t="s">
        <v>39</v>
      </c>
      <c r="AA24" s="2" t="s">
        <v>39</v>
      </c>
      <c r="AB24" s="2" t="s">
        <v>92</v>
      </c>
      <c r="AC24" s="2" t="s">
        <v>90</v>
      </c>
      <c r="AD24" s="2" t="s">
        <v>93</v>
      </c>
    </row>
    <row r="25" spans="1:30" x14ac:dyDescent="0.3">
      <c r="A25" s="4" t="s">
        <v>137</v>
      </c>
      <c r="B25" s="4" t="s">
        <v>138</v>
      </c>
      <c r="C25" s="5" t="s">
        <v>139</v>
      </c>
      <c r="D25" s="5" t="s">
        <v>140</v>
      </c>
      <c r="E25" s="5">
        <v>380</v>
      </c>
      <c r="F25" s="4" t="s">
        <v>5</v>
      </c>
      <c r="G25" s="4" t="s">
        <v>90</v>
      </c>
      <c r="H25" s="4" t="s">
        <v>127</v>
      </c>
      <c r="I25" s="4" t="s">
        <v>92</v>
      </c>
      <c r="J25" s="4" t="s">
        <v>36</v>
      </c>
      <c r="K25" s="4" t="s">
        <v>37</v>
      </c>
      <c r="L25" s="4" t="s">
        <v>38</v>
      </c>
      <c r="M25" s="4" t="s">
        <v>38</v>
      </c>
      <c r="N25" s="4" t="s">
        <v>38</v>
      </c>
      <c r="O25" s="4" t="s">
        <v>39</v>
      </c>
      <c r="P25" s="4" t="s">
        <v>38</v>
      </c>
      <c r="Q25" s="4" t="s">
        <v>38</v>
      </c>
      <c r="R25" s="4" t="s">
        <v>38</v>
      </c>
      <c r="S25" s="4" t="s">
        <v>38</v>
      </c>
      <c r="T25" s="4" t="s">
        <v>38</v>
      </c>
      <c r="U25" s="4" t="s">
        <v>38</v>
      </c>
      <c r="V25" s="4" t="s">
        <v>38</v>
      </c>
      <c r="W25" s="4" t="s">
        <v>39</v>
      </c>
      <c r="X25" s="4" t="s">
        <v>38</v>
      </c>
      <c r="Y25" s="4" t="s">
        <v>39</v>
      </c>
      <c r="Z25" s="4" t="s">
        <v>39</v>
      </c>
      <c r="AA25" s="4" t="s">
        <v>39</v>
      </c>
      <c r="AB25" s="4" t="s">
        <v>92</v>
      </c>
      <c r="AC25" s="4" t="s">
        <v>90</v>
      </c>
      <c r="AD25" s="4" t="s">
        <v>93</v>
      </c>
    </row>
    <row r="26" spans="1:30" x14ac:dyDescent="0.3">
      <c r="A26" s="2" t="s">
        <v>141</v>
      </c>
      <c r="B26" s="2" t="s">
        <v>142</v>
      </c>
      <c r="C26" s="3" t="s">
        <v>143</v>
      </c>
      <c r="D26" s="3" t="s">
        <v>144</v>
      </c>
      <c r="E26" s="3">
        <v>428</v>
      </c>
      <c r="F26" s="2" t="s">
        <v>5</v>
      </c>
      <c r="G26" s="2" t="s">
        <v>90</v>
      </c>
      <c r="H26" s="2" t="s">
        <v>106</v>
      </c>
      <c r="I26" s="2" t="s">
        <v>92</v>
      </c>
      <c r="J26" s="2" t="s">
        <v>36</v>
      </c>
      <c r="K26" s="2" t="s">
        <v>37</v>
      </c>
      <c r="L26" s="2" t="s">
        <v>38</v>
      </c>
      <c r="M26" s="2" t="s">
        <v>38</v>
      </c>
      <c r="N26" s="2" t="s">
        <v>39</v>
      </c>
      <c r="O26" s="2" t="s">
        <v>39</v>
      </c>
      <c r="P26" s="2" t="s">
        <v>38</v>
      </c>
      <c r="Q26" s="2" t="s">
        <v>38</v>
      </c>
      <c r="R26" s="2" t="s">
        <v>38</v>
      </c>
      <c r="S26" s="2" t="s">
        <v>38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38</v>
      </c>
      <c r="Y26" s="2" t="s">
        <v>39</v>
      </c>
      <c r="Z26" s="2" t="s">
        <v>39</v>
      </c>
      <c r="AA26" s="2" t="s">
        <v>39</v>
      </c>
      <c r="AB26" s="2" t="s">
        <v>92</v>
      </c>
      <c r="AC26" s="2" t="s">
        <v>90</v>
      </c>
      <c r="AD26" s="2" t="s">
        <v>93</v>
      </c>
    </row>
    <row r="27" spans="1:30" x14ac:dyDescent="0.3">
      <c r="A27" s="4" t="s">
        <v>145</v>
      </c>
      <c r="B27" s="4" t="s">
        <v>146</v>
      </c>
      <c r="C27" s="5" t="s">
        <v>147</v>
      </c>
      <c r="D27" s="5" t="s">
        <v>148</v>
      </c>
      <c r="E27" s="5">
        <v>440</v>
      </c>
      <c r="F27" s="4" t="s">
        <v>5</v>
      </c>
      <c r="G27" s="4" t="s">
        <v>90</v>
      </c>
      <c r="H27" s="4" t="s">
        <v>106</v>
      </c>
      <c r="I27" s="4" t="s">
        <v>92</v>
      </c>
      <c r="J27" s="4" t="s">
        <v>36</v>
      </c>
      <c r="K27" s="4" t="s">
        <v>37</v>
      </c>
      <c r="L27" s="4" t="s">
        <v>38</v>
      </c>
      <c r="M27" s="4" t="s">
        <v>38</v>
      </c>
      <c r="N27" s="4" t="s">
        <v>39</v>
      </c>
      <c r="O27" s="4" t="s">
        <v>39</v>
      </c>
      <c r="P27" s="4" t="s">
        <v>38</v>
      </c>
      <c r="Q27" s="4" t="s">
        <v>38</v>
      </c>
      <c r="R27" s="4" t="s">
        <v>38</v>
      </c>
      <c r="S27" s="4" t="s">
        <v>38</v>
      </c>
      <c r="T27" s="4" t="s">
        <v>39</v>
      </c>
      <c r="U27" s="4" t="s">
        <v>39</v>
      </c>
      <c r="V27" s="4" t="s">
        <v>39</v>
      </c>
      <c r="W27" s="4" t="s">
        <v>39</v>
      </c>
      <c r="X27" s="4" t="s">
        <v>38</v>
      </c>
      <c r="Y27" s="4" t="s">
        <v>39</v>
      </c>
      <c r="Z27" s="4" t="s">
        <v>39</v>
      </c>
      <c r="AA27" s="4" t="s">
        <v>39</v>
      </c>
      <c r="AB27" s="4" t="s">
        <v>92</v>
      </c>
      <c r="AC27" s="4" t="s">
        <v>90</v>
      </c>
      <c r="AD27" s="4" t="s">
        <v>93</v>
      </c>
    </row>
    <row r="28" spans="1:30" x14ac:dyDescent="0.3">
      <c r="A28" s="2" t="s">
        <v>149</v>
      </c>
      <c r="B28" s="2" t="s">
        <v>150</v>
      </c>
      <c r="C28" s="3" t="s">
        <v>151</v>
      </c>
      <c r="D28" s="3" t="s">
        <v>152</v>
      </c>
      <c r="E28" s="3">
        <v>442</v>
      </c>
      <c r="F28" s="2" t="s">
        <v>5</v>
      </c>
      <c r="G28" s="2" t="s">
        <v>90</v>
      </c>
      <c r="H28" s="2" t="s">
        <v>91</v>
      </c>
      <c r="I28" s="2" t="s">
        <v>92</v>
      </c>
      <c r="J28" s="2" t="s">
        <v>36</v>
      </c>
      <c r="K28" s="2" t="s">
        <v>37</v>
      </c>
      <c r="L28" s="2" t="s">
        <v>38</v>
      </c>
      <c r="M28" s="2" t="s">
        <v>38</v>
      </c>
      <c r="N28" s="2" t="s">
        <v>38</v>
      </c>
      <c r="O28" s="2" t="s">
        <v>39</v>
      </c>
      <c r="P28" s="2" t="s">
        <v>38</v>
      </c>
      <c r="Q28" s="2" t="s">
        <v>38</v>
      </c>
      <c r="R28" s="2" t="s">
        <v>38</v>
      </c>
      <c r="S28" s="2" t="s">
        <v>38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38</v>
      </c>
      <c r="Y28" s="2" t="s">
        <v>39</v>
      </c>
      <c r="Z28" s="2" t="s">
        <v>39</v>
      </c>
      <c r="AA28" s="2" t="s">
        <v>39</v>
      </c>
      <c r="AB28" s="2" t="s">
        <v>92</v>
      </c>
      <c r="AC28" s="2" t="s">
        <v>90</v>
      </c>
      <c r="AD28" s="2" t="s">
        <v>93</v>
      </c>
    </row>
    <row r="29" spans="1:30" x14ac:dyDescent="0.3">
      <c r="A29" s="4" t="s">
        <v>153</v>
      </c>
      <c r="B29" s="4" t="s">
        <v>154</v>
      </c>
      <c r="C29" s="5" t="s">
        <v>155</v>
      </c>
      <c r="D29" s="5" t="s">
        <v>156</v>
      </c>
      <c r="E29" s="5">
        <v>528</v>
      </c>
      <c r="F29" s="4" t="s">
        <v>5</v>
      </c>
      <c r="G29" s="4" t="s">
        <v>90</v>
      </c>
      <c r="H29" s="4" t="s">
        <v>91</v>
      </c>
      <c r="I29" s="4" t="s">
        <v>92</v>
      </c>
      <c r="J29" s="4" t="s">
        <v>36</v>
      </c>
      <c r="K29" s="4" t="s">
        <v>37</v>
      </c>
      <c r="L29" s="4" t="s">
        <v>38</v>
      </c>
      <c r="M29" s="4" t="s">
        <v>38</v>
      </c>
      <c r="N29" s="4" t="s">
        <v>38</v>
      </c>
      <c r="O29" s="4" t="s">
        <v>39</v>
      </c>
      <c r="P29" s="4" t="s">
        <v>38</v>
      </c>
      <c r="Q29" s="4" t="s">
        <v>38</v>
      </c>
      <c r="R29" s="4" t="s">
        <v>38</v>
      </c>
      <c r="S29" s="4" t="s">
        <v>38</v>
      </c>
      <c r="T29" s="4" t="s">
        <v>39</v>
      </c>
      <c r="U29" s="4" t="s">
        <v>39</v>
      </c>
      <c r="V29" s="4" t="s">
        <v>39</v>
      </c>
      <c r="W29" s="4" t="s">
        <v>39</v>
      </c>
      <c r="X29" s="4" t="s">
        <v>38</v>
      </c>
      <c r="Y29" s="4" t="s">
        <v>39</v>
      </c>
      <c r="Z29" s="4" t="s">
        <v>39</v>
      </c>
      <c r="AA29" s="4" t="s">
        <v>39</v>
      </c>
      <c r="AB29" s="4" t="s">
        <v>92</v>
      </c>
      <c r="AC29" s="4" t="s">
        <v>90</v>
      </c>
      <c r="AD29" s="4" t="s">
        <v>93</v>
      </c>
    </row>
    <row r="30" spans="1:30" x14ac:dyDescent="0.3">
      <c r="A30" s="2" t="s">
        <v>157</v>
      </c>
      <c r="B30" s="2" t="s">
        <v>158</v>
      </c>
      <c r="C30" s="3" t="s">
        <v>159</v>
      </c>
      <c r="D30" s="3" t="s">
        <v>160</v>
      </c>
      <c r="E30" s="3">
        <v>578</v>
      </c>
      <c r="F30" s="2" t="s">
        <v>5</v>
      </c>
      <c r="G30" s="2" t="s">
        <v>90</v>
      </c>
      <c r="H30" s="2" t="s">
        <v>106</v>
      </c>
      <c r="I30" s="2" t="s">
        <v>92</v>
      </c>
      <c r="J30" s="2" t="s">
        <v>36</v>
      </c>
      <c r="K30" s="2" t="s">
        <v>37</v>
      </c>
      <c r="L30" s="2" t="s">
        <v>38</v>
      </c>
      <c r="M30" s="2" t="s">
        <v>38</v>
      </c>
      <c r="N30" s="2" t="s">
        <v>38</v>
      </c>
      <c r="O30" s="2" t="s">
        <v>39</v>
      </c>
      <c r="P30" s="2" t="s">
        <v>38</v>
      </c>
      <c r="Q30" s="2" t="s">
        <v>38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38</v>
      </c>
      <c r="Y30" s="2" t="s">
        <v>39</v>
      </c>
      <c r="Z30" s="2" t="s">
        <v>39</v>
      </c>
      <c r="AA30" s="2" t="s">
        <v>39</v>
      </c>
      <c r="AB30" s="2" t="s">
        <v>92</v>
      </c>
      <c r="AC30" s="2" t="s">
        <v>90</v>
      </c>
      <c r="AD30" s="2" t="s">
        <v>90</v>
      </c>
    </row>
    <row r="31" spans="1:30" x14ac:dyDescent="0.3">
      <c r="A31" s="4" t="s">
        <v>161</v>
      </c>
      <c r="B31" s="4" t="s">
        <v>162</v>
      </c>
      <c r="C31" s="5" t="s">
        <v>163</v>
      </c>
      <c r="D31" s="5" t="s">
        <v>164</v>
      </c>
      <c r="E31" s="5">
        <v>616</v>
      </c>
      <c r="F31" s="4" t="s">
        <v>5</v>
      </c>
      <c r="G31" s="4" t="s">
        <v>90</v>
      </c>
      <c r="H31" s="4" t="s">
        <v>101</v>
      </c>
      <c r="I31" s="4" t="s">
        <v>92</v>
      </c>
      <c r="J31" s="4" t="s">
        <v>36</v>
      </c>
      <c r="K31" s="4" t="s">
        <v>37</v>
      </c>
      <c r="L31" s="4" t="s">
        <v>38</v>
      </c>
      <c r="M31" s="4" t="s">
        <v>38</v>
      </c>
      <c r="N31" s="4" t="s">
        <v>39</v>
      </c>
      <c r="O31" s="4" t="s">
        <v>39</v>
      </c>
      <c r="P31" s="4" t="s">
        <v>38</v>
      </c>
      <c r="Q31" s="4" t="s">
        <v>38</v>
      </c>
      <c r="R31" s="4" t="s">
        <v>38</v>
      </c>
      <c r="S31" s="4" t="s">
        <v>38</v>
      </c>
      <c r="T31" s="4" t="s">
        <v>39</v>
      </c>
      <c r="U31" s="4" t="s">
        <v>39</v>
      </c>
      <c r="V31" s="4" t="s">
        <v>39</v>
      </c>
      <c r="W31" s="4" t="s">
        <v>39</v>
      </c>
      <c r="X31" s="4" t="s">
        <v>38</v>
      </c>
      <c r="Y31" s="4" t="s">
        <v>39</v>
      </c>
      <c r="Z31" s="4" t="s">
        <v>39</v>
      </c>
      <c r="AA31" s="4" t="s">
        <v>39</v>
      </c>
      <c r="AB31" s="4" t="s">
        <v>92</v>
      </c>
      <c r="AC31" s="4" t="s">
        <v>90</v>
      </c>
      <c r="AD31" s="4" t="s">
        <v>93</v>
      </c>
    </row>
    <row r="32" spans="1:30" x14ac:dyDescent="0.3">
      <c r="A32" s="2" t="s">
        <v>165</v>
      </c>
      <c r="B32" s="2" t="s">
        <v>166</v>
      </c>
      <c r="C32" s="3" t="s">
        <v>167</v>
      </c>
      <c r="D32" s="3" t="s">
        <v>168</v>
      </c>
      <c r="E32" s="3">
        <v>620</v>
      </c>
      <c r="F32" s="2" t="s">
        <v>5</v>
      </c>
      <c r="G32" s="2" t="s">
        <v>90</v>
      </c>
      <c r="H32" s="2" t="s">
        <v>127</v>
      </c>
      <c r="I32" s="2" t="s">
        <v>92</v>
      </c>
      <c r="J32" s="2" t="s">
        <v>36</v>
      </c>
      <c r="K32" s="2" t="s">
        <v>37</v>
      </c>
      <c r="L32" s="2" t="s">
        <v>38</v>
      </c>
      <c r="M32" s="2" t="s">
        <v>38</v>
      </c>
      <c r="N32" s="2" t="s">
        <v>38</v>
      </c>
      <c r="O32" s="2" t="s">
        <v>39</v>
      </c>
      <c r="P32" s="2" t="s">
        <v>38</v>
      </c>
      <c r="Q32" s="2" t="s">
        <v>38</v>
      </c>
      <c r="R32" s="2" t="s">
        <v>38</v>
      </c>
      <c r="S32" s="2" t="s">
        <v>38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38</v>
      </c>
      <c r="Y32" s="2" t="s">
        <v>39</v>
      </c>
      <c r="Z32" s="2" t="s">
        <v>39</v>
      </c>
      <c r="AA32" s="2" t="s">
        <v>39</v>
      </c>
      <c r="AB32" s="2" t="s">
        <v>92</v>
      </c>
      <c r="AC32" s="2" t="s">
        <v>90</v>
      </c>
      <c r="AD32" s="2" t="s">
        <v>93</v>
      </c>
    </row>
    <row r="33" spans="1:30" x14ac:dyDescent="0.3">
      <c r="A33" s="4" t="s">
        <v>169</v>
      </c>
      <c r="B33" s="4" t="s">
        <v>169</v>
      </c>
      <c r="C33" s="5" t="s">
        <v>170</v>
      </c>
      <c r="D33" s="5" t="s">
        <v>171</v>
      </c>
      <c r="E33" s="5">
        <v>703</v>
      </c>
      <c r="F33" s="4" t="s">
        <v>5</v>
      </c>
      <c r="G33" s="4" t="s">
        <v>90</v>
      </c>
      <c r="H33" s="4" t="s">
        <v>101</v>
      </c>
      <c r="I33" s="4" t="s">
        <v>92</v>
      </c>
      <c r="J33" s="4" t="s">
        <v>36</v>
      </c>
      <c r="K33" s="4" t="s">
        <v>37</v>
      </c>
      <c r="L33" s="4" t="s">
        <v>38</v>
      </c>
      <c r="M33" s="4" t="s">
        <v>38</v>
      </c>
      <c r="N33" s="4" t="s">
        <v>39</v>
      </c>
      <c r="O33" s="4" t="s">
        <v>39</v>
      </c>
      <c r="P33" s="4" t="s">
        <v>38</v>
      </c>
      <c r="Q33" s="4" t="s">
        <v>38</v>
      </c>
      <c r="R33" s="4" t="s">
        <v>38</v>
      </c>
      <c r="S33" s="4" t="s">
        <v>38</v>
      </c>
      <c r="T33" s="4" t="s">
        <v>39</v>
      </c>
      <c r="U33" s="4" t="s">
        <v>39</v>
      </c>
      <c r="V33" s="4" t="s">
        <v>39</v>
      </c>
      <c r="W33" s="4" t="s">
        <v>39</v>
      </c>
      <c r="X33" s="4" t="s">
        <v>38</v>
      </c>
      <c r="Y33" s="4" t="s">
        <v>39</v>
      </c>
      <c r="Z33" s="4" t="s">
        <v>39</v>
      </c>
      <c r="AA33" s="4" t="s">
        <v>39</v>
      </c>
      <c r="AB33" s="4" t="s">
        <v>92</v>
      </c>
      <c r="AC33" s="4" t="s">
        <v>90</v>
      </c>
      <c r="AD33" s="4" t="s">
        <v>93</v>
      </c>
    </row>
    <row r="34" spans="1:30" x14ac:dyDescent="0.3">
      <c r="A34" s="2" t="s">
        <v>172</v>
      </c>
      <c r="B34" s="2" t="s">
        <v>173</v>
      </c>
      <c r="C34" s="3" t="s">
        <v>174</v>
      </c>
      <c r="D34" s="3" t="s">
        <v>175</v>
      </c>
      <c r="E34" s="3">
        <v>705</v>
      </c>
      <c r="F34" s="2" t="s">
        <v>5</v>
      </c>
      <c r="G34" s="2" t="s">
        <v>90</v>
      </c>
      <c r="H34" s="2" t="s">
        <v>127</v>
      </c>
      <c r="I34" s="2" t="s">
        <v>92</v>
      </c>
      <c r="J34" s="2" t="s">
        <v>36</v>
      </c>
      <c r="K34" s="2" t="s">
        <v>37</v>
      </c>
      <c r="L34" s="2" t="s">
        <v>38</v>
      </c>
      <c r="M34" s="2" t="s">
        <v>38</v>
      </c>
      <c r="N34" s="2" t="s">
        <v>39</v>
      </c>
      <c r="O34" s="2" t="s">
        <v>39</v>
      </c>
      <c r="P34" s="2" t="s">
        <v>38</v>
      </c>
      <c r="Q34" s="2" t="s">
        <v>38</v>
      </c>
      <c r="R34" s="2" t="s">
        <v>38</v>
      </c>
      <c r="S34" s="2" t="s">
        <v>38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38</v>
      </c>
      <c r="Y34" s="2" t="s">
        <v>39</v>
      </c>
      <c r="Z34" s="2" t="s">
        <v>39</v>
      </c>
      <c r="AA34" s="2" t="s">
        <v>39</v>
      </c>
      <c r="AB34" s="2" t="s">
        <v>92</v>
      </c>
      <c r="AC34" s="2" t="s">
        <v>90</v>
      </c>
      <c r="AD34" s="2" t="s">
        <v>93</v>
      </c>
    </row>
    <row r="35" spans="1:30" x14ac:dyDescent="0.3">
      <c r="A35" s="4" t="s">
        <v>176</v>
      </c>
      <c r="B35" s="4" t="s">
        <v>177</v>
      </c>
      <c r="C35" s="5" t="s">
        <v>178</v>
      </c>
      <c r="D35" s="5" t="s">
        <v>179</v>
      </c>
      <c r="E35" s="5">
        <v>724</v>
      </c>
      <c r="F35" s="4" t="s">
        <v>5</v>
      </c>
      <c r="G35" s="4" t="s">
        <v>90</v>
      </c>
      <c r="H35" s="4" t="s">
        <v>127</v>
      </c>
      <c r="I35" s="4" t="s">
        <v>92</v>
      </c>
      <c r="J35" s="4" t="s">
        <v>36</v>
      </c>
      <c r="K35" s="4" t="s">
        <v>37</v>
      </c>
      <c r="L35" s="4" t="s">
        <v>38</v>
      </c>
      <c r="M35" s="4" t="s">
        <v>38</v>
      </c>
      <c r="N35" s="4" t="s">
        <v>38</v>
      </c>
      <c r="O35" s="4" t="s">
        <v>39</v>
      </c>
      <c r="P35" s="4" t="s">
        <v>38</v>
      </c>
      <c r="Q35" s="4" t="s">
        <v>38</v>
      </c>
      <c r="R35" s="4" t="s">
        <v>38</v>
      </c>
      <c r="S35" s="4" t="s">
        <v>38</v>
      </c>
      <c r="T35" s="4" t="s">
        <v>39</v>
      </c>
      <c r="U35" s="4" t="s">
        <v>39</v>
      </c>
      <c r="V35" s="4" t="s">
        <v>39</v>
      </c>
      <c r="W35" s="4" t="s">
        <v>39</v>
      </c>
      <c r="X35" s="4" t="s">
        <v>38</v>
      </c>
      <c r="Y35" s="4" t="s">
        <v>39</v>
      </c>
      <c r="Z35" s="4" t="s">
        <v>39</v>
      </c>
      <c r="AA35" s="4" t="s">
        <v>39</v>
      </c>
      <c r="AB35" s="4" t="s">
        <v>92</v>
      </c>
      <c r="AC35" s="4" t="s">
        <v>90</v>
      </c>
      <c r="AD35" s="4" t="s">
        <v>93</v>
      </c>
    </row>
    <row r="36" spans="1:30" x14ac:dyDescent="0.3">
      <c r="A36" s="2" t="s">
        <v>180</v>
      </c>
      <c r="B36" s="2" t="s">
        <v>181</v>
      </c>
      <c r="C36" s="3" t="s">
        <v>182</v>
      </c>
      <c r="D36" s="3" t="s">
        <v>183</v>
      </c>
      <c r="E36" s="3">
        <v>752</v>
      </c>
      <c r="F36" s="2" t="s">
        <v>5</v>
      </c>
      <c r="G36" s="2" t="s">
        <v>90</v>
      </c>
      <c r="H36" s="2" t="s">
        <v>106</v>
      </c>
      <c r="I36" s="2" t="s">
        <v>92</v>
      </c>
      <c r="J36" s="2" t="s">
        <v>36</v>
      </c>
      <c r="K36" s="2" t="s">
        <v>37</v>
      </c>
      <c r="L36" s="2" t="s">
        <v>38</v>
      </c>
      <c r="M36" s="2" t="s">
        <v>38</v>
      </c>
      <c r="N36" s="2" t="s">
        <v>38</v>
      </c>
      <c r="O36" s="2" t="s">
        <v>39</v>
      </c>
      <c r="P36" s="2" t="s">
        <v>38</v>
      </c>
      <c r="Q36" s="2" t="s">
        <v>38</v>
      </c>
      <c r="R36" s="2" t="s">
        <v>38</v>
      </c>
      <c r="S36" s="2" t="s">
        <v>38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38</v>
      </c>
      <c r="Y36" s="2" t="s">
        <v>39</v>
      </c>
      <c r="Z36" s="2" t="s">
        <v>39</v>
      </c>
      <c r="AA36" s="2" t="s">
        <v>39</v>
      </c>
      <c r="AB36" s="2" t="s">
        <v>92</v>
      </c>
      <c r="AC36" s="2" t="s">
        <v>90</v>
      </c>
      <c r="AD36" s="2" t="s">
        <v>93</v>
      </c>
    </row>
    <row r="37" spans="1:30" x14ac:dyDescent="0.3">
      <c r="A37" s="4" t="s">
        <v>184</v>
      </c>
      <c r="B37" s="4" t="s">
        <v>185</v>
      </c>
      <c r="C37" s="5" t="s">
        <v>186</v>
      </c>
      <c r="D37" s="5" t="s">
        <v>187</v>
      </c>
      <c r="E37" s="5">
        <v>756</v>
      </c>
      <c r="F37" s="4" t="s">
        <v>5</v>
      </c>
      <c r="G37" s="4" t="s">
        <v>90</v>
      </c>
      <c r="H37" s="4" t="s">
        <v>91</v>
      </c>
      <c r="I37" s="4" t="s">
        <v>92</v>
      </c>
      <c r="J37" s="4" t="s">
        <v>36</v>
      </c>
      <c r="K37" s="4" t="s">
        <v>37</v>
      </c>
      <c r="L37" s="4" t="s">
        <v>38</v>
      </c>
      <c r="M37" s="4" t="s">
        <v>38</v>
      </c>
      <c r="N37" s="4" t="s">
        <v>38</v>
      </c>
      <c r="O37" s="4" t="s">
        <v>39</v>
      </c>
      <c r="P37" s="4" t="s">
        <v>38</v>
      </c>
      <c r="Q37" s="4" t="s">
        <v>38</v>
      </c>
      <c r="R37" s="4" t="s">
        <v>39</v>
      </c>
      <c r="S37" s="4" t="s">
        <v>39</v>
      </c>
      <c r="T37" s="4" t="s">
        <v>39</v>
      </c>
      <c r="U37" s="4" t="s">
        <v>39</v>
      </c>
      <c r="V37" s="4" t="s">
        <v>39</v>
      </c>
      <c r="W37" s="4" t="s">
        <v>39</v>
      </c>
      <c r="X37" s="4" t="s">
        <v>38</v>
      </c>
      <c r="Y37" s="4" t="s">
        <v>39</v>
      </c>
      <c r="Z37" s="4" t="s">
        <v>39</v>
      </c>
      <c r="AA37" s="4" t="s">
        <v>39</v>
      </c>
      <c r="AB37" s="4" t="s">
        <v>92</v>
      </c>
      <c r="AC37" s="4" t="s">
        <v>90</v>
      </c>
      <c r="AD37" s="4" t="s">
        <v>90</v>
      </c>
    </row>
    <row r="38" spans="1:30" x14ac:dyDescent="0.3">
      <c r="A38" s="2" t="s">
        <v>188</v>
      </c>
      <c r="B38" s="2" t="s">
        <v>188</v>
      </c>
      <c r="C38" s="3" t="s">
        <v>189</v>
      </c>
      <c r="D38" s="3" t="s">
        <v>190</v>
      </c>
      <c r="E38" s="3">
        <v>792</v>
      </c>
      <c r="F38" s="2" t="s">
        <v>5</v>
      </c>
      <c r="G38" s="2" t="s">
        <v>73</v>
      </c>
      <c r="H38" s="2" t="s">
        <v>74</v>
      </c>
      <c r="I38" s="2" t="s">
        <v>92</v>
      </c>
      <c r="J38" s="2" t="s">
        <v>36</v>
      </c>
      <c r="K38" s="2" t="s">
        <v>37</v>
      </c>
      <c r="L38" s="2" t="s">
        <v>38</v>
      </c>
      <c r="M38" s="2" t="s">
        <v>38</v>
      </c>
      <c r="N38" s="2" t="s">
        <v>39</v>
      </c>
      <c r="O38" s="2" t="s">
        <v>39</v>
      </c>
      <c r="P38" s="2" t="s">
        <v>39</v>
      </c>
      <c r="Q38" s="2" t="s">
        <v>38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38</v>
      </c>
      <c r="W38" s="2" t="s">
        <v>39</v>
      </c>
      <c r="X38" s="2" t="s">
        <v>38</v>
      </c>
      <c r="Y38" s="2" t="s">
        <v>39</v>
      </c>
      <c r="Z38" s="2" t="s">
        <v>39</v>
      </c>
      <c r="AA38" s="2" t="s">
        <v>39</v>
      </c>
      <c r="AB38" s="2" t="s">
        <v>92</v>
      </c>
      <c r="AC38" s="2" t="s">
        <v>73</v>
      </c>
      <c r="AD38" s="2" t="s">
        <v>21</v>
      </c>
    </row>
    <row r="39" spans="1:30" x14ac:dyDescent="0.3">
      <c r="A39" s="4" t="s">
        <v>191</v>
      </c>
      <c r="B39" s="4" t="s">
        <v>192</v>
      </c>
      <c r="C39" s="5" t="s">
        <v>193</v>
      </c>
      <c r="D39" s="5" t="s">
        <v>194</v>
      </c>
      <c r="E39" s="5">
        <v>826</v>
      </c>
      <c r="F39" s="4" t="s">
        <v>5</v>
      </c>
      <c r="G39" s="4" t="s">
        <v>90</v>
      </c>
      <c r="H39" s="4" t="s">
        <v>106</v>
      </c>
      <c r="I39" s="4" t="s">
        <v>92</v>
      </c>
      <c r="J39" s="4" t="s">
        <v>36</v>
      </c>
      <c r="K39" s="4" t="s">
        <v>37</v>
      </c>
      <c r="L39" s="4" t="s">
        <v>38</v>
      </c>
      <c r="M39" s="4" t="s">
        <v>38</v>
      </c>
      <c r="N39" s="4" t="s">
        <v>38</v>
      </c>
      <c r="O39" s="4" t="s">
        <v>39</v>
      </c>
      <c r="P39" s="4" t="s">
        <v>38</v>
      </c>
      <c r="Q39" s="4" t="s">
        <v>38</v>
      </c>
      <c r="R39" s="4" t="s">
        <v>39</v>
      </c>
      <c r="S39" s="4" t="s">
        <v>39</v>
      </c>
      <c r="T39" s="4" t="s">
        <v>38</v>
      </c>
      <c r="U39" s="4" t="s">
        <v>38</v>
      </c>
      <c r="V39" s="4" t="s">
        <v>38</v>
      </c>
      <c r="W39" s="4" t="s">
        <v>39</v>
      </c>
      <c r="X39" s="4" t="s">
        <v>38</v>
      </c>
      <c r="Y39" s="4" t="s">
        <v>39</v>
      </c>
      <c r="Z39" s="4" t="s">
        <v>39</v>
      </c>
      <c r="AA39" s="4" t="s">
        <v>39</v>
      </c>
      <c r="AB39" s="4" t="s">
        <v>92</v>
      </c>
      <c r="AC39" s="4" t="s">
        <v>90</v>
      </c>
      <c r="AD39" s="4" t="s">
        <v>19</v>
      </c>
    </row>
    <row r="40" spans="1:30" x14ac:dyDescent="0.3">
      <c r="A40" s="2" t="s">
        <v>195</v>
      </c>
      <c r="B40" s="2" t="s">
        <v>196</v>
      </c>
      <c r="C40" s="3" t="s">
        <v>197</v>
      </c>
      <c r="D40" s="3" t="s">
        <v>198</v>
      </c>
      <c r="E40" s="3">
        <v>8</v>
      </c>
      <c r="F40" s="2" t="s">
        <v>5</v>
      </c>
      <c r="G40" s="2" t="s">
        <v>90</v>
      </c>
      <c r="H40" s="2" t="s">
        <v>127</v>
      </c>
      <c r="I40" s="2" t="s">
        <v>199</v>
      </c>
      <c r="J40" s="2" t="s">
        <v>45</v>
      </c>
      <c r="K40" s="2" t="s">
        <v>200</v>
      </c>
      <c r="L40" s="2" t="s">
        <v>39</v>
      </c>
      <c r="M40" s="2" t="s">
        <v>39</v>
      </c>
      <c r="N40" s="2" t="s">
        <v>39</v>
      </c>
      <c r="O40" s="2" t="s">
        <v>38</v>
      </c>
      <c r="P40" s="2" t="s">
        <v>39</v>
      </c>
      <c r="Q40" s="2" t="s">
        <v>38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38</v>
      </c>
      <c r="AB40" s="2" t="s">
        <v>199</v>
      </c>
      <c r="AC40" s="2" t="s">
        <v>90</v>
      </c>
      <c r="AD40" s="2" t="s">
        <v>90</v>
      </c>
    </row>
    <row r="41" spans="1:30" x14ac:dyDescent="0.3">
      <c r="A41" s="4" t="s">
        <v>201</v>
      </c>
      <c r="B41" s="4" t="s">
        <v>202</v>
      </c>
      <c r="C41" s="5" t="s">
        <v>203</v>
      </c>
      <c r="D41" s="5" t="s">
        <v>204</v>
      </c>
      <c r="E41" s="5">
        <v>51</v>
      </c>
      <c r="F41" s="4" t="s">
        <v>5</v>
      </c>
      <c r="G41" s="4" t="s">
        <v>73</v>
      </c>
      <c r="H41" s="4" t="s">
        <v>74</v>
      </c>
      <c r="I41" s="4" t="s">
        <v>199</v>
      </c>
      <c r="J41" s="4" t="s">
        <v>45</v>
      </c>
      <c r="K41" s="4" t="s">
        <v>200</v>
      </c>
      <c r="L41" s="4" t="s">
        <v>39</v>
      </c>
      <c r="M41" s="4" t="s">
        <v>39</v>
      </c>
      <c r="N41" s="4" t="s">
        <v>39</v>
      </c>
      <c r="O41" s="4" t="s">
        <v>38</v>
      </c>
      <c r="P41" s="4" t="s">
        <v>39</v>
      </c>
      <c r="Q41" s="4" t="s">
        <v>38</v>
      </c>
      <c r="R41" s="4" t="s">
        <v>39</v>
      </c>
      <c r="S41" s="4" t="s">
        <v>39</v>
      </c>
      <c r="T41" s="4" t="s">
        <v>39</v>
      </c>
      <c r="U41" s="4" t="s">
        <v>39</v>
      </c>
      <c r="V41" s="4" t="s">
        <v>39</v>
      </c>
      <c r="W41" s="4" t="s">
        <v>39</v>
      </c>
      <c r="X41" s="4" t="s">
        <v>39</v>
      </c>
      <c r="Y41" s="4" t="s">
        <v>39</v>
      </c>
      <c r="Z41" s="4" t="s">
        <v>39</v>
      </c>
      <c r="AA41" s="4" t="s">
        <v>38</v>
      </c>
      <c r="AB41" s="4" t="s">
        <v>199</v>
      </c>
      <c r="AC41" s="4" t="s">
        <v>73</v>
      </c>
      <c r="AD41" s="4" t="s">
        <v>73</v>
      </c>
    </row>
    <row r="42" spans="1:30" x14ac:dyDescent="0.3">
      <c r="A42" s="2" t="s">
        <v>205</v>
      </c>
      <c r="B42" s="2" t="s">
        <v>206</v>
      </c>
      <c r="C42" s="3" t="s">
        <v>207</v>
      </c>
      <c r="D42" s="3" t="s">
        <v>208</v>
      </c>
      <c r="E42" s="3">
        <v>31</v>
      </c>
      <c r="F42" s="2" t="s">
        <v>5</v>
      </c>
      <c r="G42" s="2" t="s">
        <v>73</v>
      </c>
      <c r="H42" s="2" t="s">
        <v>74</v>
      </c>
      <c r="I42" s="2" t="s">
        <v>199</v>
      </c>
      <c r="J42" s="2" t="s">
        <v>45</v>
      </c>
      <c r="K42" s="2" t="s">
        <v>200</v>
      </c>
      <c r="L42" s="2" t="s">
        <v>39</v>
      </c>
      <c r="M42" s="2" t="s">
        <v>39</v>
      </c>
      <c r="N42" s="2" t="s">
        <v>39</v>
      </c>
      <c r="O42" s="2" t="s">
        <v>38</v>
      </c>
      <c r="P42" s="2" t="s">
        <v>39</v>
      </c>
      <c r="Q42" s="2" t="s">
        <v>38</v>
      </c>
      <c r="R42" s="2" t="s">
        <v>39</v>
      </c>
      <c r="S42" s="2" t="s">
        <v>39</v>
      </c>
      <c r="T42" s="2" t="s">
        <v>39</v>
      </c>
      <c r="U42" s="2" t="s">
        <v>39</v>
      </c>
      <c r="V42" s="2" t="s">
        <v>39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38</v>
      </c>
      <c r="AB42" s="2" t="s">
        <v>199</v>
      </c>
      <c r="AC42" s="2" t="s">
        <v>73</v>
      </c>
      <c r="AD42" s="2" t="s">
        <v>73</v>
      </c>
    </row>
    <row r="43" spans="1:30" x14ac:dyDescent="0.3">
      <c r="A43" s="4" t="s">
        <v>209</v>
      </c>
      <c r="B43" s="4" t="s">
        <v>210</v>
      </c>
      <c r="C43" s="5" t="s">
        <v>211</v>
      </c>
      <c r="D43" s="5" t="s">
        <v>212</v>
      </c>
      <c r="E43" s="5">
        <v>112</v>
      </c>
      <c r="F43" s="4" t="s">
        <v>5</v>
      </c>
      <c r="G43" s="4" t="s">
        <v>90</v>
      </c>
      <c r="H43" s="4" t="s">
        <v>101</v>
      </c>
      <c r="I43" s="4" t="s">
        <v>199</v>
      </c>
      <c r="J43" s="4" t="s">
        <v>45</v>
      </c>
      <c r="K43" s="4" t="s">
        <v>200</v>
      </c>
      <c r="L43" s="4" t="s">
        <v>39</v>
      </c>
      <c r="M43" s="4" t="s">
        <v>38</v>
      </c>
      <c r="N43" s="4" t="s">
        <v>39</v>
      </c>
      <c r="O43" s="4" t="s">
        <v>39</v>
      </c>
      <c r="P43" s="4" t="s">
        <v>39</v>
      </c>
      <c r="Q43" s="4" t="s">
        <v>38</v>
      </c>
      <c r="R43" s="4" t="s">
        <v>39</v>
      </c>
      <c r="S43" s="4" t="s">
        <v>39</v>
      </c>
      <c r="T43" s="4" t="s">
        <v>39</v>
      </c>
      <c r="U43" s="4" t="s">
        <v>39</v>
      </c>
      <c r="V43" s="4" t="s">
        <v>39</v>
      </c>
      <c r="W43" s="4" t="s">
        <v>39</v>
      </c>
      <c r="X43" s="4" t="s">
        <v>39</v>
      </c>
      <c r="Y43" s="4" t="s">
        <v>39</v>
      </c>
      <c r="Z43" s="4" t="s">
        <v>39</v>
      </c>
      <c r="AA43" s="4" t="s">
        <v>38</v>
      </c>
      <c r="AB43" s="4" t="s">
        <v>199</v>
      </c>
      <c r="AC43" s="4" t="s">
        <v>90</v>
      </c>
      <c r="AD43" s="4" t="s">
        <v>90</v>
      </c>
    </row>
    <row r="44" spans="1:30" x14ac:dyDescent="0.3">
      <c r="A44" s="2" t="s">
        <v>213</v>
      </c>
      <c r="B44" s="2" t="s">
        <v>213</v>
      </c>
      <c r="C44" s="3" t="s">
        <v>214</v>
      </c>
      <c r="D44" s="3" t="s">
        <v>215</v>
      </c>
      <c r="E44" s="3">
        <v>70</v>
      </c>
      <c r="F44" s="2" t="s">
        <v>5</v>
      </c>
      <c r="G44" s="2" t="s">
        <v>90</v>
      </c>
      <c r="H44" s="2" t="s">
        <v>127</v>
      </c>
      <c r="I44" s="2" t="s">
        <v>199</v>
      </c>
      <c r="J44" s="2" t="s">
        <v>45</v>
      </c>
      <c r="K44" s="2" t="s">
        <v>200</v>
      </c>
      <c r="L44" s="2" t="s">
        <v>39</v>
      </c>
      <c r="M44" s="2" t="s">
        <v>39</v>
      </c>
      <c r="N44" s="2" t="s">
        <v>39</v>
      </c>
      <c r="O44" s="2" t="s">
        <v>38</v>
      </c>
      <c r="P44" s="2" t="s">
        <v>39</v>
      </c>
      <c r="Q44" s="2" t="s">
        <v>38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38</v>
      </c>
      <c r="AB44" s="2" t="s">
        <v>199</v>
      </c>
      <c r="AC44" s="2" t="s">
        <v>90</v>
      </c>
      <c r="AD44" s="2" t="s">
        <v>90</v>
      </c>
    </row>
    <row r="45" spans="1:30" x14ac:dyDescent="0.3">
      <c r="A45" s="4" t="s">
        <v>216</v>
      </c>
      <c r="B45" s="4" t="s">
        <v>217</v>
      </c>
      <c r="C45" s="5" t="s">
        <v>218</v>
      </c>
      <c r="D45" s="5" t="s">
        <v>219</v>
      </c>
      <c r="E45" s="5">
        <v>100</v>
      </c>
      <c r="F45" s="4" t="s">
        <v>5</v>
      </c>
      <c r="G45" s="4" t="s">
        <v>90</v>
      </c>
      <c r="H45" s="4" t="s">
        <v>101</v>
      </c>
      <c r="I45" s="4" t="s">
        <v>199</v>
      </c>
      <c r="J45" s="4" t="s">
        <v>45</v>
      </c>
      <c r="K45" s="4" t="s">
        <v>200</v>
      </c>
      <c r="L45" s="4" t="s">
        <v>39</v>
      </c>
      <c r="M45" s="4" t="s">
        <v>38</v>
      </c>
      <c r="N45" s="4" t="s">
        <v>39</v>
      </c>
      <c r="O45" s="4" t="s">
        <v>39</v>
      </c>
      <c r="P45" s="4" t="s">
        <v>38</v>
      </c>
      <c r="Q45" s="4" t="s">
        <v>38</v>
      </c>
      <c r="R45" s="4" t="s">
        <v>38</v>
      </c>
      <c r="S45" s="4" t="s">
        <v>38</v>
      </c>
      <c r="T45" s="4" t="s">
        <v>39</v>
      </c>
      <c r="U45" s="4" t="s">
        <v>39</v>
      </c>
      <c r="V45" s="4" t="s">
        <v>39</v>
      </c>
      <c r="W45" s="4" t="s">
        <v>39</v>
      </c>
      <c r="X45" s="4" t="s">
        <v>39</v>
      </c>
      <c r="Y45" s="4" t="s">
        <v>39</v>
      </c>
      <c r="Z45" s="4" t="s">
        <v>39</v>
      </c>
      <c r="AA45" s="4" t="s">
        <v>38</v>
      </c>
      <c r="AB45" s="4" t="s">
        <v>199</v>
      </c>
      <c r="AC45" s="4" t="s">
        <v>90</v>
      </c>
      <c r="AD45" s="4" t="s">
        <v>93</v>
      </c>
    </row>
    <row r="46" spans="1:30" x14ac:dyDescent="0.3">
      <c r="A46" s="2" t="s">
        <v>220</v>
      </c>
      <c r="B46" s="2" t="s">
        <v>221</v>
      </c>
      <c r="C46" s="3" t="s">
        <v>222</v>
      </c>
      <c r="D46" s="3" t="s">
        <v>223</v>
      </c>
      <c r="E46" s="3">
        <v>191</v>
      </c>
      <c r="F46" s="2" t="s">
        <v>5</v>
      </c>
      <c r="G46" s="2" t="s">
        <v>90</v>
      </c>
      <c r="H46" s="2" t="s">
        <v>127</v>
      </c>
      <c r="I46" s="2" t="s">
        <v>199</v>
      </c>
      <c r="J46" s="2" t="s">
        <v>36</v>
      </c>
      <c r="K46" s="2" t="s">
        <v>200</v>
      </c>
      <c r="L46" s="2" t="s">
        <v>39</v>
      </c>
      <c r="M46" s="2" t="s">
        <v>38</v>
      </c>
      <c r="N46" s="2" t="s">
        <v>39</v>
      </c>
      <c r="O46" s="2" t="s">
        <v>39</v>
      </c>
      <c r="P46" s="2" t="s">
        <v>38</v>
      </c>
      <c r="Q46" s="2" t="s">
        <v>38</v>
      </c>
      <c r="R46" s="2" t="s">
        <v>38</v>
      </c>
      <c r="S46" s="2" t="s">
        <v>38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38</v>
      </c>
      <c r="AB46" s="2" t="s">
        <v>199</v>
      </c>
      <c r="AC46" s="2" t="s">
        <v>90</v>
      </c>
      <c r="AD46" s="2" t="s">
        <v>93</v>
      </c>
    </row>
    <row r="47" spans="1:30" x14ac:dyDescent="0.3">
      <c r="A47" s="4" t="s">
        <v>224</v>
      </c>
      <c r="B47" s="4" t="s">
        <v>225</v>
      </c>
      <c r="C47" s="5" t="s">
        <v>226</v>
      </c>
      <c r="D47" s="5" t="s">
        <v>227</v>
      </c>
      <c r="E47" s="5">
        <v>196</v>
      </c>
      <c r="F47" s="4" t="s">
        <v>5</v>
      </c>
      <c r="G47" s="4" t="s">
        <v>73</v>
      </c>
      <c r="H47" s="4" t="s">
        <v>74</v>
      </c>
      <c r="I47" s="4" t="s">
        <v>199</v>
      </c>
      <c r="J47" s="4" t="s">
        <v>36</v>
      </c>
      <c r="K47" s="4" t="s">
        <v>200</v>
      </c>
      <c r="L47" s="4" t="s">
        <v>39</v>
      </c>
      <c r="M47" s="4" t="s">
        <v>38</v>
      </c>
      <c r="N47" s="4" t="s">
        <v>39</v>
      </c>
      <c r="O47" s="4" t="s">
        <v>39</v>
      </c>
      <c r="P47" s="4" t="s">
        <v>38</v>
      </c>
      <c r="Q47" s="4" t="s">
        <v>38</v>
      </c>
      <c r="R47" s="4" t="s">
        <v>38</v>
      </c>
      <c r="S47" s="4" t="s">
        <v>38</v>
      </c>
      <c r="T47" s="4" t="s">
        <v>39</v>
      </c>
      <c r="U47" s="4" t="s">
        <v>39</v>
      </c>
      <c r="V47" s="4" t="s">
        <v>39</v>
      </c>
      <c r="W47" s="4" t="s">
        <v>39</v>
      </c>
      <c r="X47" s="4" t="s">
        <v>39</v>
      </c>
      <c r="Y47" s="4" t="s">
        <v>39</v>
      </c>
      <c r="Z47" s="4" t="s">
        <v>39</v>
      </c>
      <c r="AA47" s="4" t="s">
        <v>38</v>
      </c>
      <c r="AB47" s="4" t="s">
        <v>199</v>
      </c>
      <c r="AC47" s="4" t="s">
        <v>73</v>
      </c>
      <c r="AD47" s="4" t="s">
        <v>93</v>
      </c>
    </row>
    <row r="48" spans="1:30" x14ac:dyDescent="0.3">
      <c r="A48" s="2" t="s">
        <v>228</v>
      </c>
      <c r="B48" s="2" t="s">
        <v>228</v>
      </c>
      <c r="C48" s="3" t="s">
        <v>229</v>
      </c>
      <c r="D48" s="3" t="s">
        <v>230</v>
      </c>
      <c r="E48" s="3">
        <v>268</v>
      </c>
      <c r="F48" s="2" t="s">
        <v>5</v>
      </c>
      <c r="G48" s="2" t="s">
        <v>73</v>
      </c>
      <c r="H48" s="2" t="s">
        <v>74</v>
      </c>
      <c r="I48" s="2" t="s">
        <v>199</v>
      </c>
      <c r="J48" s="2" t="s">
        <v>45</v>
      </c>
      <c r="K48" s="2" t="s">
        <v>200</v>
      </c>
      <c r="L48" s="2" t="s">
        <v>39</v>
      </c>
      <c r="M48" s="2" t="s">
        <v>39</v>
      </c>
      <c r="N48" s="2" t="s">
        <v>39</v>
      </c>
      <c r="O48" s="2" t="s">
        <v>38</v>
      </c>
      <c r="P48" s="2" t="s">
        <v>39</v>
      </c>
      <c r="Q48" s="2" t="s">
        <v>38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38</v>
      </c>
      <c r="AB48" s="2" t="s">
        <v>199</v>
      </c>
      <c r="AC48" s="2" t="s">
        <v>73</v>
      </c>
      <c r="AD48" s="2" t="s">
        <v>73</v>
      </c>
    </row>
    <row r="49" spans="1:30" x14ac:dyDescent="0.3">
      <c r="A49" s="4" t="s">
        <v>231</v>
      </c>
      <c r="B49" s="4" t="s">
        <v>231</v>
      </c>
      <c r="C49" s="5" t="s">
        <v>232</v>
      </c>
      <c r="D49" s="5" t="s">
        <v>233</v>
      </c>
      <c r="E49" s="5">
        <v>292</v>
      </c>
      <c r="F49" s="4" t="s">
        <v>5</v>
      </c>
      <c r="G49" s="4" t="s">
        <v>90</v>
      </c>
      <c r="H49" s="4" t="s">
        <v>127</v>
      </c>
      <c r="I49" s="4" t="s">
        <v>199</v>
      </c>
      <c r="J49" s="4" t="s">
        <v>36</v>
      </c>
      <c r="K49" s="4" t="s">
        <v>200</v>
      </c>
      <c r="L49" s="4" t="s">
        <v>39</v>
      </c>
      <c r="M49" s="4" t="s">
        <v>39</v>
      </c>
      <c r="N49" s="4" t="s">
        <v>39</v>
      </c>
      <c r="O49" s="4" t="s">
        <v>38</v>
      </c>
      <c r="P49" s="4" t="s">
        <v>39</v>
      </c>
      <c r="Q49" s="4" t="s">
        <v>38</v>
      </c>
      <c r="R49" s="4" t="s">
        <v>39</v>
      </c>
      <c r="S49" s="4" t="s">
        <v>39</v>
      </c>
      <c r="T49" s="4" t="s">
        <v>39</v>
      </c>
      <c r="U49" s="4" t="s">
        <v>39</v>
      </c>
      <c r="V49" s="4" t="s">
        <v>39</v>
      </c>
      <c r="W49" s="4" t="s">
        <v>39</v>
      </c>
      <c r="X49" s="4" t="s">
        <v>39</v>
      </c>
      <c r="Y49" s="4" t="s">
        <v>39</v>
      </c>
      <c r="Z49" s="4" t="s">
        <v>39</v>
      </c>
      <c r="AA49" s="4" t="s">
        <v>38</v>
      </c>
      <c r="AB49" s="4" t="s">
        <v>199</v>
      </c>
      <c r="AC49" s="4" t="s">
        <v>90</v>
      </c>
      <c r="AD49" s="4" t="s">
        <v>90</v>
      </c>
    </row>
    <row r="50" spans="1:30" x14ac:dyDescent="0.3">
      <c r="A50" s="2" t="s">
        <v>234</v>
      </c>
      <c r="B50" s="2" t="s">
        <v>235</v>
      </c>
      <c r="C50" s="3" t="s">
        <v>236</v>
      </c>
      <c r="D50" s="3" t="s">
        <v>237</v>
      </c>
      <c r="E50" s="3">
        <v>398</v>
      </c>
      <c r="F50" s="2" t="s">
        <v>5</v>
      </c>
      <c r="G50" s="2" t="s">
        <v>73</v>
      </c>
      <c r="H50" s="2" t="s">
        <v>238</v>
      </c>
      <c r="I50" s="2" t="s">
        <v>199</v>
      </c>
      <c r="J50" s="2" t="s">
        <v>45</v>
      </c>
      <c r="K50" s="2" t="s">
        <v>200</v>
      </c>
      <c r="L50" s="2" t="s">
        <v>39</v>
      </c>
      <c r="M50" s="2" t="s">
        <v>39</v>
      </c>
      <c r="N50" s="2" t="s">
        <v>39</v>
      </c>
      <c r="O50" s="2" t="s">
        <v>38</v>
      </c>
      <c r="P50" s="2" t="s">
        <v>39</v>
      </c>
      <c r="Q50" s="2" t="s">
        <v>38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38</v>
      </c>
      <c r="AB50" s="2" t="s">
        <v>199</v>
      </c>
      <c r="AC50" s="2" t="s">
        <v>73</v>
      </c>
      <c r="AD50" s="2" t="s">
        <v>73</v>
      </c>
    </row>
    <row r="51" spans="1:30" x14ac:dyDescent="0.3">
      <c r="A51" s="4" t="s">
        <v>239</v>
      </c>
      <c r="B51" s="4" t="s">
        <v>240</v>
      </c>
      <c r="C51" s="5" t="s">
        <v>241</v>
      </c>
      <c r="D51" s="5" t="s">
        <v>706</v>
      </c>
      <c r="E51" s="5" t="s">
        <v>242</v>
      </c>
      <c r="F51" s="4" t="s">
        <v>5</v>
      </c>
      <c r="G51" s="4" t="s">
        <v>90</v>
      </c>
      <c r="H51" s="4" t="s">
        <v>127</v>
      </c>
      <c r="I51" s="4" t="s">
        <v>199</v>
      </c>
      <c r="J51" s="4" t="s">
        <v>45</v>
      </c>
      <c r="K51" s="4" t="s">
        <v>200</v>
      </c>
      <c r="L51" s="4" t="s">
        <v>39</v>
      </c>
      <c r="M51" s="4" t="s">
        <v>39</v>
      </c>
      <c r="N51" s="4" t="s">
        <v>39</v>
      </c>
      <c r="O51" s="4" t="s">
        <v>38</v>
      </c>
      <c r="P51" s="4" t="s">
        <v>39</v>
      </c>
      <c r="Q51" s="4" t="s">
        <v>38</v>
      </c>
      <c r="R51" s="4" t="s">
        <v>39</v>
      </c>
      <c r="S51" s="4" t="s">
        <v>39</v>
      </c>
      <c r="T51" s="4" t="s">
        <v>39</v>
      </c>
      <c r="U51" s="4" t="s">
        <v>39</v>
      </c>
      <c r="V51" s="4" t="s">
        <v>39</v>
      </c>
      <c r="W51" s="4" t="s">
        <v>39</v>
      </c>
      <c r="X51" s="4" t="s">
        <v>39</v>
      </c>
      <c r="Y51" s="4" t="s">
        <v>39</v>
      </c>
      <c r="Z51" s="4" t="s">
        <v>39</v>
      </c>
      <c r="AA51" s="4" t="s">
        <v>38</v>
      </c>
      <c r="AB51" s="4" t="s">
        <v>199</v>
      </c>
      <c r="AC51" s="4" t="s">
        <v>90</v>
      </c>
      <c r="AD51" s="4" t="s">
        <v>90</v>
      </c>
    </row>
    <row r="52" spans="1:30" x14ac:dyDescent="0.3">
      <c r="A52" s="2" t="s">
        <v>243</v>
      </c>
      <c r="B52" s="2" t="s">
        <v>244</v>
      </c>
      <c r="C52" s="3" t="s">
        <v>245</v>
      </c>
      <c r="D52" s="3" t="s">
        <v>246</v>
      </c>
      <c r="E52" s="3">
        <v>417</v>
      </c>
      <c r="F52" s="2" t="s">
        <v>5</v>
      </c>
      <c r="G52" s="2" t="s">
        <v>73</v>
      </c>
      <c r="H52" s="2" t="s">
        <v>238</v>
      </c>
      <c r="I52" s="2" t="s">
        <v>199</v>
      </c>
      <c r="J52" s="2" t="s">
        <v>247</v>
      </c>
      <c r="K52" s="2" t="s">
        <v>200</v>
      </c>
      <c r="L52" s="2" t="s">
        <v>39</v>
      </c>
      <c r="M52" s="2" t="s">
        <v>39</v>
      </c>
      <c r="N52" s="2" t="s">
        <v>39</v>
      </c>
      <c r="O52" s="2" t="s">
        <v>38</v>
      </c>
      <c r="P52" s="2" t="s">
        <v>39</v>
      </c>
      <c r="Q52" s="2" t="s">
        <v>38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38</v>
      </c>
      <c r="AB52" s="2" t="s">
        <v>199</v>
      </c>
      <c r="AC52" s="2" t="s">
        <v>73</v>
      </c>
      <c r="AD52" s="2" t="s">
        <v>73</v>
      </c>
    </row>
    <row r="53" spans="1:30" x14ac:dyDescent="0.3">
      <c r="A53" s="4" t="s">
        <v>248</v>
      </c>
      <c r="B53" s="4" t="s">
        <v>249</v>
      </c>
      <c r="C53" s="5" t="s">
        <v>250</v>
      </c>
      <c r="D53" s="5" t="s">
        <v>251</v>
      </c>
      <c r="E53" s="5">
        <v>470</v>
      </c>
      <c r="F53" s="4" t="s">
        <v>5</v>
      </c>
      <c r="G53" s="4" t="s">
        <v>90</v>
      </c>
      <c r="H53" s="4" t="s">
        <v>127</v>
      </c>
      <c r="I53" s="4" t="s">
        <v>199</v>
      </c>
      <c r="J53" s="4" t="s">
        <v>36</v>
      </c>
      <c r="K53" s="4" t="s">
        <v>200</v>
      </c>
      <c r="L53" s="4" t="s">
        <v>39</v>
      </c>
      <c r="M53" s="4" t="s">
        <v>38</v>
      </c>
      <c r="N53" s="4" t="s">
        <v>39</v>
      </c>
      <c r="O53" s="4" t="s">
        <v>39</v>
      </c>
      <c r="P53" s="4" t="s">
        <v>38</v>
      </c>
      <c r="Q53" s="4" t="s">
        <v>38</v>
      </c>
      <c r="R53" s="4" t="s">
        <v>38</v>
      </c>
      <c r="S53" s="4" t="s">
        <v>38</v>
      </c>
      <c r="T53" s="4" t="s">
        <v>39</v>
      </c>
      <c r="U53" s="4" t="s">
        <v>39</v>
      </c>
      <c r="V53" s="4" t="s">
        <v>39</v>
      </c>
      <c r="W53" s="4" t="s">
        <v>39</v>
      </c>
      <c r="X53" s="4" t="s">
        <v>39</v>
      </c>
      <c r="Y53" s="4" t="s">
        <v>39</v>
      </c>
      <c r="Z53" s="4" t="s">
        <v>39</v>
      </c>
      <c r="AA53" s="4" t="s">
        <v>38</v>
      </c>
      <c r="AB53" s="4" t="s">
        <v>199</v>
      </c>
      <c r="AC53" s="4" t="s">
        <v>90</v>
      </c>
      <c r="AD53" s="4" t="s">
        <v>93</v>
      </c>
    </row>
    <row r="54" spans="1:30" x14ac:dyDescent="0.3">
      <c r="A54" s="2" t="s">
        <v>252</v>
      </c>
      <c r="B54" s="2" t="s">
        <v>252</v>
      </c>
      <c r="C54" s="3" t="s">
        <v>253</v>
      </c>
      <c r="D54" s="3" t="s">
        <v>254</v>
      </c>
      <c r="E54" s="3">
        <v>498</v>
      </c>
      <c r="F54" s="2" t="s">
        <v>5</v>
      </c>
      <c r="G54" s="2" t="s">
        <v>90</v>
      </c>
      <c r="H54" s="2" t="s">
        <v>101</v>
      </c>
      <c r="I54" s="2" t="s">
        <v>199</v>
      </c>
      <c r="J54" s="2" t="s">
        <v>45</v>
      </c>
      <c r="K54" s="2" t="s">
        <v>200</v>
      </c>
      <c r="L54" s="2" t="s">
        <v>39</v>
      </c>
      <c r="M54" s="2" t="s">
        <v>39</v>
      </c>
      <c r="N54" s="2" t="s">
        <v>39</v>
      </c>
      <c r="O54" s="2" t="s">
        <v>38</v>
      </c>
      <c r="P54" s="2" t="s">
        <v>39</v>
      </c>
      <c r="Q54" s="2" t="s">
        <v>38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38</v>
      </c>
      <c r="AB54" s="2" t="s">
        <v>199</v>
      </c>
      <c r="AC54" s="2" t="s">
        <v>90</v>
      </c>
      <c r="AD54" s="2" t="s">
        <v>90</v>
      </c>
    </row>
    <row r="55" spans="1:30" x14ac:dyDescent="0.3">
      <c r="A55" s="4" t="s">
        <v>255</v>
      </c>
      <c r="B55" s="4" t="s">
        <v>255</v>
      </c>
      <c r="C55" s="5" t="s">
        <v>256</v>
      </c>
      <c r="D55" s="5" t="s">
        <v>257</v>
      </c>
      <c r="E55" s="5">
        <v>499</v>
      </c>
      <c r="F55" s="4" t="s">
        <v>5</v>
      </c>
      <c r="G55" s="4" t="s">
        <v>90</v>
      </c>
      <c r="H55" s="4" t="s">
        <v>127</v>
      </c>
      <c r="I55" s="4" t="s">
        <v>199</v>
      </c>
      <c r="J55" s="4" t="s">
        <v>45</v>
      </c>
      <c r="K55" s="4" t="s">
        <v>200</v>
      </c>
      <c r="L55" s="4" t="s">
        <v>39</v>
      </c>
      <c r="M55" s="4" t="s">
        <v>39</v>
      </c>
      <c r="N55" s="4" t="s">
        <v>39</v>
      </c>
      <c r="O55" s="4" t="s">
        <v>38</v>
      </c>
      <c r="P55" s="4" t="s">
        <v>39</v>
      </c>
      <c r="Q55" s="4" t="s">
        <v>38</v>
      </c>
      <c r="R55" s="4" t="s">
        <v>39</v>
      </c>
      <c r="S55" s="4" t="s">
        <v>39</v>
      </c>
      <c r="T55" s="4" t="s">
        <v>39</v>
      </c>
      <c r="U55" s="4" t="s">
        <v>39</v>
      </c>
      <c r="V55" s="4" t="s">
        <v>39</v>
      </c>
      <c r="W55" s="4" t="s">
        <v>39</v>
      </c>
      <c r="X55" s="4" t="s">
        <v>39</v>
      </c>
      <c r="Y55" s="4" t="s">
        <v>39</v>
      </c>
      <c r="Z55" s="4" t="s">
        <v>39</v>
      </c>
      <c r="AA55" s="4" t="s">
        <v>38</v>
      </c>
      <c r="AB55" s="4" t="s">
        <v>199</v>
      </c>
      <c r="AC55" s="4" t="s">
        <v>90</v>
      </c>
      <c r="AD55" s="4" t="s">
        <v>90</v>
      </c>
    </row>
    <row r="56" spans="1:30" x14ac:dyDescent="0.3">
      <c r="A56" s="2" t="s">
        <v>258</v>
      </c>
      <c r="B56" s="2" t="s">
        <v>258</v>
      </c>
      <c r="C56" s="3" t="s">
        <v>259</v>
      </c>
      <c r="D56" s="3" t="s">
        <v>260</v>
      </c>
      <c r="E56" s="3">
        <v>807</v>
      </c>
      <c r="F56" s="2" t="s">
        <v>5</v>
      </c>
      <c r="G56" s="2" t="s">
        <v>90</v>
      </c>
      <c r="H56" s="2" t="s">
        <v>127</v>
      </c>
      <c r="I56" s="2" t="s">
        <v>199</v>
      </c>
      <c r="J56" s="2" t="s">
        <v>45</v>
      </c>
      <c r="K56" s="2" t="s">
        <v>200</v>
      </c>
      <c r="L56" s="2" t="s">
        <v>39</v>
      </c>
      <c r="M56" s="2" t="s">
        <v>39</v>
      </c>
      <c r="N56" s="2" t="s">
        <v>39</v>
      </c>
      <c r="O56" s="2" t="s">
        <v>38</v>
      </c>
      <c r="P56" s="2" t="s">
        <v>39</v>
      </c>
      <c r="Q56" s="2" t="s">
        <v>38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38</v>
      </c>
      <c r="AB56" s="2" t="s">
        <v>199</v>
      </c>
      <c r="AC56" s="2" t="s">
        <v>90</v>
      </c>
      <c r="AD56" s="2" t="s">
        <v>90</v>
      </c>
    </row>
    <row r="57" spans="1:30" x14ac:dyDescent="0.3">
      <c r="A57" s="4" t="s">
        <v>261</v>
      </c>
      <c r="B57" s="4" t="s">
        <v>261</v>
      </c>
      <c r="C57" s="5" t="s">
        <v>262</v>
      </c>
      <c r="D57" s="5" t="s">
        <v>263</v>
      </c>
      <c r="E57" s="5">
        <v>642</v>
      </c>
      <c r="F57" s="4" t="s">
        <v>5</v>
      </c>
      <c r="G57" s="4" t="s">
        <v>90</v>
      </c>
      <c r="H57" s="4" t="s">
        <v>101</v>
      </c>
      <c r="I57" s="4" t="s">
        <v>199</v>
      </c>
      <c r="J57" s="4" t="s">
        <v>45</v>
      </c>
      <c r="K57" s="4" t="s">
        <v>200</v>
      </c>
      <c r="L57" s="4" t="s">
        <v>39</v>
      </c>
      <c r="M57" s="4" t="s">
        <v>38</v>
      </c>
      <c r="N57" s="4" t="s">
        <v>39</v>
      </c>
      <c r="O57" s="4" t="s">
        <v>39</v>
      </c>
      <c r="P57" s="4" t="s">
        <v>38</v>
      </c>
      <c r="Q57" s="4" t="s">
        <v>38</v>
      </c>
      <c r="R57" s="4" t="s">
        <v>38</v>
      </c>
      <c r="S57" s="4" t="s">
        <v>38</v>
      </c>
      <c r="T57" s="4" t="s">
        <v>39</v>
      </c>
      <c r="U57" s="4" t="s">
        <v>39</v>
      </c>
      <c r="V57" s="4" t="s">
        <v>39</v>
      </c>
      <c r="W57" s="4" t="s">
        <v>39</v>
      </c>
      <c r="X57" s="4" t="s">
        <v>39</v>
      </c>
      <c r="Y57" s="4" t="s">
        <v>39</v>
      </c>
      <c r="Z57" s="4" t="s">
        <v>39</v>
      </c>
      <c r="AA57" s="4" t="s">
        <v>38</v>
      </c>
      <c r="AB57" s="4" t="s">
        <v>199</v>
      </c>
      <c r="AC57" s="4" t="s">
        <v>90</v>
      </c>
      <c r="AD57" s="4" t="s">
        <v>93</v>
      </c>
    </row>
    <row r="58" spans="1:30" x14ac:dyDescent="0.3">
      <c r="A58" s="2" t="s">
        <v>264</v>
      </c>
      <c r="B58" s="2" t="s">
        <v>264</v>
      </c>
      <c r="C58" s="3" t="s">
        <v>265</v>
      </c>
      <c r="D58" s="3" t="s">
        <v>266</v>
      </c>
      <c r="E58" s="3">
        <v>643</v>
      </c>
      <c r="F58" s="2" t="s">
        <v>5</v>
      </c>
      <c r="G58" s="2" t="s">
        <v>90</v>
      </c>
      <c r="H58" s="2" t="s">
        <v>101</v>
      </c>
      <c r="I58" s="2" t="s">
        <v>199</v>
      </c>
      <c r="J58" s="2" t="s">
        <v>45</v>
      </c>
      <c r="K58" s="2" t="s">
        <v>200</v>
      </c>
      <c r="L58" s="2" t="s">
        <v>39</v>
      </c>
      <c r="M58" s="2" t="s">
        <v>38</v>
      </c>
      <c r="N58" s="2" t="s">
        <v>39</v>
      </c>
      <c r="O58" s="2" t="s">
        <v>39</v>
      </c>
      <c r="P58" s="2" t="s">
        <v>38</v>
      </c>
      <c r="Q58" s="2" t="s">
        <v>38</v>
      </c>
      <c r="R58" s="2" t="s">
        <v>39</v>
      </c>
      <c r="S58" s="2" t="s">
        <v>39</v>
      </c>
      <c r="T58" s="2" t="s">
        <v>39</v>
      </c>
      <c r="U58" s="2" t="s">
        <v>38</v>
      </c>
      <c r="V58" s="2" t="s">
        <v>38</v>
      </c>
      <c r="W58" s="2" t="s">
        <v>38</v>
      </c>
      <c r="X58" s="2" t="s">
        <v>39</v>
      </c>
      <c r="Y58" s="2" t="s">
        <v>39</v>
      </c>
      <c r="Z58" s="2" t="s">
        <v>39</v>
      </c>
      <c r="AA58" s="2" t="s">
        <v>38</v>
      </c>
      <c r="AB58" s="2" t="s">
        <v>199</v>
      </c>
      <c r="AC58" s="2" t="s">
        <v>90</v>
      </c>
      <c r="AD58" s="2" t="s">
        <v>267</v>
      </c>
    </row>
    <row r="59" spans="1:30" x14ac:dyDescent="0.3">
      <c r="A59" s="4" t="s">
        <v>268</v>
      </c>
      <c r="B59" s="4" t="s">
        <v>269</v>
      </c>
      <c r="C59" s="5" t="s">
        <v>270</v>
      </c>
      <c r="D59" s="5" t="s">
        <v>271</v>
      </c>
      <c r="E59" s="5">
        <v>688</v>
      </c>
      <c r="F59" s="4" t="s">
        <v>5</v>
      </c>
      <c r="G59" s="4" t="s">
        <v>90</v>
      </c>
      <c r="H59" s="4" t="s">
        <v>127</v>
      </c>
      <c r="I59" s="4" t="s">
        <v>199</v>
      </c>
      <c r="J59" s="4" t="s">
        <v>45</v>
      </c>
      <c r="K59" s="4" t="s">
        <v>200</v>
      </c>
      <c r="L59" s="4" t="s">
        <v>39</v>
      </c>
      <c r="M59" s="4" t="s">
        <v>39</v>
      </c>
      <c r="N59" s="4" t="s">
        <v>39</v>
      </c>
      <c r="O59" s="4" t="s">
        <v>38</v>
      </c>
      <c r="P59" s="4" t="s">
        <v>39</v>
      </c>
      <c r="Q59" s="4" t="s">
        <v>38</v>
      </c>
      <c r="R59" s="4" t="s">
        <v>39</v>
      </c>
      <c r="S59" s="4" t="s">
        <v>39</v>
      </c>
      <c r="T59" s="4" t="s">
        <v>39</v>
      </c>
      <c r="U59" s="4" t="s">
        <v>39</v>
      </c>
      <c r="V59" s="4" t="s">
        <v>39</v>
      </c>
      <c r="W59" s="4" t="s">
        <v>39</v>
      </c>
      <c r="X59" s="4" t="s">
        <v>39</v>
      </c>
      <c r="Y59" s="4" t="s">
        <v>39</v>
      </c>
      <c r="Z59" s="4" t="s">
        <v>39</v>
      </c>
      <c r="AA59" s="4" t="s">
        <v>38</v>
      </c>
      <c r="AB59" s="4" t="s">
        <v>199</v>
      </c>
      <c r="AC59" s="4" t="s">
        <v>90</v>
      </c>
      <c r="AD59" s="4" t="s">
        <v>90</v>
      </c>
    </row>
    <row r="60" spans="1:30" x14ac:dyDescent="0.3">
      <c r="A60" s="2" t="s">
        <v>272</v>
      </c>
      <c r="B60" s="2" t="s">
        <v>273</v>
      </c>
      <c r="C60" s="3" t="s">
        <v>274</v>
      </c>
      <c r="D60" s="3" t="s">
        <v>275</v>
      </c>
      <c r="E60" s="3">
        <v>762</v>
      </c>
      <c r="F60" s="2" t="s">
        <v>5</v>
      </c>
      <c r="G60" s="2" t="s">
        <v>73</v>
      </c>
      <c r="H60" s="2" t="s">
        <v>238</v>
      </c>
      <c r="I60" s="2" t="s">
        <v>199</v>
      </c>
      <c r="J60" s="2" t="s">
        <v>247</v>
      </c>
      <c r="K60" s="2" t="s">
        <v>200</v>
      </c>
      <c r="L60" s="2" t="s">
        <v>39</v>
      </c>
      <c r="M60" s="2" t="s">
        <v>39</v>
      </c>
      <c r="N60" s="2" t="s">
        <v>39</v>
      </c>
      <c r="O60" s="2" t="s">
        <v>38</v>
      </c>
      <c r="P60" s="2" t="s">
        <v>39</v>
      </c>
      <c r="Q60" s="2" t="s">
        <v>38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38</v>
      </c>
      <c r="AB60" s="2" t="s">
        <v>199</v>
      </c>
      <c r="AC60" s="2" t="s">
        <v>73</v>
      </c>
      <c r="AD60" s="2" t="s">
        <v>73</v>
      </c>
    </row>
    <row r="61" spans="1:30" x14ac:dyDescent="0.3">
      <c r="A61" s="4" t="s">
        <v>276</v>
      </c>
      <c r="B61" s="4" t="s">
        <v>276</v>
      </c>
      <c r="C61" s="5" t="s">
        <v>277</v>
      </c>
      <c r="D61" s="5" t="s">
        <v>278</v>
      </c>
      <c r="E61" s="5">
        <v>795</v>
      </c>
      <c r="F61" s="4" t="s">
        <v>5</v>
      </c>
      <c r="G61" s="4" t="s">
        <v>73</v>
      </c>
      <c r="H61" s="4" t="s">
        <v>238</v>
      </c>
      <c r="I61" s="4" t="s">
        <v>199</v>
      </c>
      <c r="J61" s="4" t="s">
        <v>45</v>
      </c>
      <c r="K61" s="4" t="s">
        <v>200</v>
      </c>
      <c r="L61" s="4" t="s">
        <v>39</v>
      </c>
      <c r="M61" s="4" t="s">
        <v>39</v>
      </c>
      <c r="N61" s="4" t="s">
        <v>39</v>
      </c>
      <c r="O61" s="4" t="s">
        <v>38</v>
      </c>
      <c r="P61" s="4" t="s">
        <v>39</v>
      </c>
      <c r="Q61" s="4" t="s">
        <v>38</v>
      </c>
      <c r="R61" s="4" t="s">
        <v>39</v>
      </c>
      <c r="S61" s="4" t="s">
        <v>39</v>
      </c>
      <c r="T61" s="4" t="s">
        <v>39</v>
      </c>
      <c r="U61" s="4" t="s">
        <v>39</v>
      </c>
      <c r="V61" s="4" t="s">
        <v>39</v>
      </c>
      <c r="W61" s="4" t="s">
        <v>39</v>
      </c>
      <c r="X61" s="4" t="s">
        <v>39</v>
      </c>
      <c r="Y61" s="4" t="s">
        <v>39</v>
      </c>
      <c r="Z61" s="4" t="s">
        <v>39</v>
      </c>
      <c r="AA61" s="4" t="s">
        <v>38</v>
      </c>
      <c r="AB61" s="4" t="s">
        <v>199</v>
      </c>
      <c r="AC61" s="4" t="s">
        <v>73</v>
      </c>
      <c r="AD61" s="4" t="s">
        <v>73</v>
      </c>
    </row>
    <row r="62" spans="1:30" x14ac:dyDescent="0.3">
      <c r="A62" s="2" t="s">
        <v>279</v>
      </c>
      <c r="B62" s="2" t="s">
        <v>279</v>
      </c>
      <c r="C62" s="3" t="s">
        <v>280</v>
      </c>
      <c r="D62" s="3" t="s">
        <v>281</v>
      </c>
      <c r="E62" s="3">
        <v>804</v>
      </c>
      <c r="F62" s="2" t="s">
        <v>5</v>
      </c>
      <c r="G62" s="2" t="s">
        <v>90</v>
      </c>
      <c r="H62" s="2" t="s">
        <v>101</v>
      </c>
      <c r="I62" s="2" t="s">
        <v>199</v>
      </c>
      <c r="J62" s="2" t="s">
        <v>247</v>
      </c>
      <c r="K62" s="2" t="s">
        <v>200</v>
      </c>
      <c r="L62" s="2" t="s">
        <v>39</v>
      </c>
      <c r="M62" s="2" t="s">
        <v>38</v>
      </c>
      <c r="N62" s="2" t="s">
        <v>39</v>
      </c>
      <c r="O62" s="2" t="s">
        <v>39</v>
      </c>
      <c r="P62" s="2" t="s">
        <v>38</v>
      </c>
      <c r="Q62" s="2" t="s">
        <v>38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38</v>
      </c>
      <c r="AB62" s="2" t="s">
        <v>199</v>
      </c>
      <c r="AC62" s="2" t="s">
        <v>90</v>
      </c>
      <c r="AD62" s="2" t="s">
        <v>90</v>
      </c>
    </row>
    <row r="63" spans="1:30" x14ac:dyDescent="0.3">
      <c r="A63" s="4" t="s">
        <v>282</v>
      </c>
      <c r="B63" s="4" t="s">
        <v>283</v>
      </c>
      <c r="C63" s="5" t="s">
        <v>284</v>
      </c>
      <c r="D63" s="5" t="s">
        <v>285</v>
      </c>
      <c r="E63" s="5">
        <v>860</v>
      </c>
      <c r="F63" s="4" t="s">
        <v>5</v>
      </c>
      <c r="G63" s="4" t="s">
        <v>73</v>
      </c>
      <c r="H63" s="4" t="s">
        <v>238</v>
      </c>
      <c r="I63" s="4" t="s">
        <v>199</v>
      </c>
      <c r="J63" s="4" t="s">
        <v>247</v>
      </c>
      <c r="K63" s="4" t="s">
        <v>200</v>
      </c>
      <c r="L63" s="4" t="s">
        <v>39</v>
      </c>
      <c r="M63" s="4" t="s">
        <v>39</v>
      </c>
      <c r="N63" s="4" t="s">
        <v>39</v>
      </c>
      <c r="O63" s="4" t="s">
        <v>38</v>
      </c>
      <c r="P63" s="4" t="s">
        <v>39</v>
      </c>
      <c r="Q63" s="4" t="s">
        <v>38</v>
      </c>
      <c r="R63" s="4" t="s">
        <v>39</v>
      </c>
      <c r="S63" s="4" t="s">
        <v>39</v>
      </c>
      <c r="T63" s="4" t="s">
        <v>39</v>
      </c>
      <c r="U63" s="4" t="s">
        <v>39</v>
      </c>
      <c r="V63" s="4" t="s">
        <v>39</v>
      </c>
      <c r="W63" s="4" t="s">
        <v>39</v>
      </c>
      <c r="X63" s="4" t="s">
        <v>39</v>
      </c>
      <c r="Y63" s="4" t="s">
        <v>39</v>
      </c>
      <c r="Z63" s="4" t="s">
        <v>39</v>
      </c>
      <c r="AA63" s="4" t="s">
        <v>38</v>
      </c>
      <c r="AB63" s="4" t="s">
        <v>199</v>
      </c>
      <c r="AC63" s="4" t="s">
        <v>73</v>
      </c>
      <c r="AD63" s="4" t="s">
        <v>73</v>
      </c>
    </row>
    <row r="64" spans="1:30" x14ac:dyDescent="0.3">
      <c r="A64" s="2" t="s">
        <v>286</v>
      </c>
      <c r="B64" s="2" t="s">
        <v>287</v>
      </c>
      <c r="C64" s="3" t="s">
        <v>288</v>
      </c>
      <c r="D64" s="3" t="s">
        <v>289</v>
      </c>
      <c r="E64" s="3">
        <v>12</v>
      </c>
      <c r="F64" s="2" t="s">
        <v>5</v>
      </c>
      <c r="G64" s="2" t="s">
        <v>290</v>
      </c>
      <c r="H64" s="2" t="s">
        <v>291</v>
      </c>
      <c r="I64" s="2" t="s">
        <v>290</v>
      </c>
      <c r="J64" s="2" t="s">
        <v>45</v>
      </c>
      <c r="K64" s="2" t="s">
        <v>200</v>
      </c>
      <c r="L64" s="2" t="s">
        <v>39</v>
      </c>
      <c r="M64" s="2" t="s">
        <v>39</v>
      </c>
      <c r="N64" s="2" t="s">
        <v>39</v>
      </c>
      <c r="O64" s="2" t="s">
        <v>38</v>
      </c>
      <c r="P64" s="2" t="s">
        <v>39</v>
      </c>
      <c r="Q64" s="2" t="s">
        <v>38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290</v>
      </c>
      <c r="AC64" s="2" t="s">
        <v>290</v>
      </c>
      <c r="AD64" s="2" t="s">
        <v>290</v>
      </c>
    </row>
    <row r="65" spans="1:30" x14ac:dyDescent="0.3">
      <c r="A65" s="4" t="s">
        <v>292</v>
      </c>
      <c r="B65" s="4" t="s">
        <v>293</v>
      </c>
      <c r="C65" s="5" t="s">
        <v>294</v>
      </c>
      <c r="D65" s="5" t="s">
        <v>295</v>
      </c>
      <c r="E65" s="5">
        <v>24</v>
      </c>
      <c r="F65" s="4" t="s">
        <v>5</v>
      </c>
      <c r="G65" s="4" t="s">
        <v>290</v>
      </c>
      <c r="H65" s="4" t="s">
        <v>296</v>
      </c>
      <c r="I65" s="4" t="s">
        <v>290</v>
      </c>
      <c r="J65" s="4" t="s">
        <v>36</v>
      </c>
      <c r="K65" s="4" t="s">
        <v>200</v>
      </c>
      <c r="L65" s="4" t="s">
        <v>39</v>
      </c>
      <c r="M65" s="4" t="s">
        <v>39</v>
      </c>
      <c r="N65" s="4" t="s">
        <v>39</v>
      </c>
      <c r="O65" s="4" t="s">
        <v>38</v>
      </c>
      <c r="P65" s="4" t="s">
        <v>39</v>
      </c>
      <c r="Q65" s="4" t="s">
        <v>38</v>
      </c>
      <c r="R65" s="4" t="s">
        <v>39</v>
      </c>
      <c r="S65" s="4" t="s">
        <v>39</v>
      </c>
      <c r="T65" s="4" t="s">
        <v>39</v>
      </c>
      <c r="U65" s="4" t="s">
        <v>39</v>
      </c>
      <c r="V65" s="4" t="s">
        <v>39</v>
      </c>
      <c r="W65" s="4" t="s">
        <v>39</v>
      </c>
      <c r="X65" s="4" t="s">
        <v>39</v>
      </c>
      <c r="Y65" s="4" t="s">
        <v>39</v>
      </c>
      <c r="Z65" s="4" t="s">
        <v>39</v>
      </c>
      <c r="AA65" s="4" t="s">
        <v>39</v>
      </c>
      <c r="AB65" s="4" t="s">
        <v>290</v>
      </c>
      <c r="AC65" s="4" t="s">
        <v>290</v>
      </c>
      <c r="AD65" s="4" t="s">
        <v>290</v>
      </c>
    </row>
    <row r="66" spans="1:30" x14ac:dyDescent="0.3">
      <c r="A66" s="2" t="s">
        <v>297</v>
      </c>
      <c r="B66" s="2" t="s">
        <v>298</v>
      </c>
      <c r="C66" s="3" t="s">
        <v>299</v>
      </c>
      <c r="D66" s="3" t="s">
        <v>300</v>
      </c>
      <c r="E66" s="3">
        <v>204</v>
      </c>
      <c r="F66" s="2" t="s">
        <v>5</v>
      </c>
      <c r="G66" s="2" t="s">
        <v>290</v>
      </c>
      <c r="H66" s="2" t="s">
        <v>296</v>
      </c>
      <c r="I66" s="2" t="s">
        <v>290</v>
      </c>
      <c r="J66" s="2" t="s">
        <v>247</v>
      </c>
      <c r="K66" s="2" t="s">
        <v>200</v>
      </c>
      <c r="L66" s="2" t="s">
        <v>39</v>
      </c>
      <c r="M66" s="2" t="s">
        <v>39</v>
      </c>
      <c r="N66" s="2" t="s">
        <v>39</v>
      </c>
      <c r="O66" s="2" t="s">
        <v>38</v>
      </c>
      <c r="P66" s="2" t="s">
        <v>39</v>
      </c>
      <c r="Q66" s="2" t="s">
        <v>38</v>
      </c>
      <c r="R66" s="2" t="s">
        <v>39</v>
      </c>
      <c r="S66" s="2" t="s">
        <v>39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290</v>
      </c>
      <c r="AC66" s="2" t="s">
        <v>290</v>
      </c>
      <c r="AD66" s="2" t="s">
        <v>290</v>
      </c>
    </row>
    <row r="67" spans="1:30" x14ac:dyDescent="0.3">
      <c r="A67" s="4" t="s">
        <v>301</v>
      </c>
      <c r="B67" s="4" t="s">
        <v>302</v>
      </c>
      <c r="C67" s="5" t="s">
        <v>303</v>
      </c>
      <c r="D67" s="5" t="s">
        <v>304</v>
      </c>
      <c r="E67" s="5">
        <v>72</v>
      </c>
      <c r="F67" s="4" t="s">
        <v>5</v>
      </c>
      <c r="G67" s="4" t="s">
        <v>290</v>
      </c>
      <c r="H67" s="4" t="s">
        <v>296</v>
      </c>
      <c r="I67" s="4" t="s">
        <v>290</v>
      </c>
      <c r="J67" s="4" t="s">
        <v>45</v>
      </c>
      <c r="K67" s="4" t="s">
        <v>200</v>
      </c>
      <c r="L67" s="4" t="s">
        <v>39</v>
      </c>
      <c r="M67" s="4" t="s">
        <v>39</v>
      </c>
      <c r="N67" s="4" t="s">
        <v>39</v>
      </c>
      <c r="O67" s="4" t="s">
        <v>38</v>
      </c>
      <c r="P67" s="4" t="s">
        <v>39</v>
      </c>
      <c r="Q67" s="4" t="s">
        <v>38</v>
      </c>
      <c r="R67" s="4" t="s">
        <v>39</v>
      </c>
      <c r="S67" s="4" t="s">
        <v>39</v>
      </c>
      <c r="T67" s="4" t="s">
        <v>39</v>
      </c>
      <c r="U67" s="4" t="s">
        <v>39</v>
      </c>
      <c r="V67" s="4" t="s">
        <v>39</v>
      </c>
      <c r="W67" s="4" t="s">
        <v>39</v>
      </c>
      <c r="X67" s="4" t="s">
        <v>39</v>
      </c>
      <c r="Y67" s="4" t="s">
        <v>39</v>
      </c>
      <c r="Z67" s="4" t="s">
        <v>39</v>
      </c>
      <c r="AA67" s="4" t="s">
        <v>39</v>
      </c>
      <c r="AB67" s="4" t="s">
        <v>290</v>
      </c>
      <c r="AC67" s="4" t="s">
        <v>290</v>
      </c>
      <c r="AD67" s="4" t="s">
        <v>290</v>
      </c>
    </row>
    <row r="68" spans="1:30" x14ac:dyDescent="0.3">
      <c r="A68" s="2" t="s">
        <v>305</v>
      </c>
      <c r="B68" s="2" t="s">
        <v>306</v>
      </c>
      <c r="C68" s="3" t="s">
        <v>307</v>
      </c>
      <c r="D68" s="3" t="s">
        <v>308</v>
      </c>
      <c r="E68" s="3">
        <v>120</v>
      </c>
      <c r="F68" s="2" t="s">
        <v>5</v>
      </c>
      <c r="G68" s="2" t="s">
        <v>290</v>
      </c>
      <c r="H68" s="2" t="s">
        <v>296</v>
      </c>
      <c r="I68" s="2" t="s">
        <v>290</v>
      </c>
      <c r="J68" s="2" t="s">
        <v>247</v>
      </c>
      <c r="K68" s="2" t="s">
        <v>200</v>
      </c>
      <c r="L68" s="2" t="s">
        <v>39</v>
      </c>
      <c r="M68" s="2" t="s">
        <v>39</v>
      </c>
      <c r="N68" s="2" t="s">
        <v>39</v>
      </c>
      <c r="O68" s="2" t="s">
        <v>38</v>
      </c>
      <c r="P68" s="2" t="s">
        <v>39</v>
      </c>
      <c r="Q68" s="2" t="s">
        <v>38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290</v>
      </c>
      <c r="AC68" s="2" t="s">
        <v>290</v>
      </c>
      <c r="AD68" s="2" t="s">
        <v>290</v>
      </c>
    </row>
    <row r="69" spans="1:30" x14ac:dyDescent="0.3">
      <c r="A69" s="4" t="s">
        <v>309</v>
      </c>
      <c r="B69" s="4" t="s">
        <v>310</v>
      </c>
      <c r="C69" s="5" t="s">
        <v>311</v>
      </c>
      <c r="D69" s="5" t="s">
        <v>312</v>
      </c>
      <c r="E69" s="5">
        <v>178</v>
      </c>
      <c r="F69" s="4" t="s">
        <v>5</v>
      </c>
      <c r="G69" s="4" t="s">
        <v>290</v>
      </c>
      <c r="H69" s="4" t="s">
        <v>296</v>
      </c>
      <c r="I69" s="4" t="s">
        <v>290</v>
      </c>
      <c r="J69" s="4" t="s">
        <v>247</v>
      </c>
      <c r="K69" s="4" t="s">
        <v>200</v>
      </c>
      <c r="L69" s="4" t="s">
        <v>39</v>
      </c>
      <c r="M69" s="4" t="s">
        <v>39</v>
      </c>
      <c r="N69" s="4" t="s">
        <v>39</v>
      </c>
      <c r="O69" s="4" t="s">
        <v>38</v>
      </c>
      <c r="P69" s="4" t="s">
        <v>39</v>
      </c>
      <c r="Q69" s="4" t="s">
        <v>38</v>
      </c>
      <c r="R69" s="4" t="s">
        <v>39</v>
      </c>
      <c r="S69" s="4" t="s">
        <v>39</v>
      </c>
      <c r="T69" s="4" t="s">
        <v>39</v>
      </c>
      <c r="U69" s="4" t="s">
        <v>39</v>
      </c>
      <c r="V69" s="4" t="s">
        <v>39</v>
      </c>
      <c r="W69" s="4" t="s">
        <v>39</v>
      </c>
      <c r="X69" s="4" t="s">
        <v>39</v>
      </c>
      <c r="Y69" s="4" t="s">
        <v>39</v>
      </c>
      <c r="Z69" s="4" t="s">
        <v>39</v>
      </c>
      <c r="AA69" s="4" t="s">
        <v>39</v>
      </c>
      <c r="AB69" s="4" t="s">
        <v>290</v>
      </c>
      <c r="AC69" s="4" t="s">
        <v>290</v>
      </c>
      <c r="AD69" s="4" t="s">
        <v>290</v>
      </c>
    </row>
    <row r="70" spans="1:30" x14ac:dyDescent="0.3">
      <c r="A70" s="2" t="s">
        <v>313</v>
      </c>
      <c r="B70" s="2" t="s">
        <v>314</v>
      </c>
      <c r="C70" s="3" t="s">
        <v>315</v>
      </c>
      <c r="D70" s="3" t="s">
        <v>316</v>
      </c>
      <c r="E70" s="3">
        <v>384</v>
      </c>
      <c r="F70" s="2" t="s">
        <v>5</v>
      </c>
      <c r="G70" s="2" t="s">
        <v>290</v>
      </c>
      <c r="H70" s="2" t="s">
        <v>296</v>
      </c>
      <c r="I70" s="2" t="s">
        <v>290</v>
      </c>
      <c r="J70" s="2" t="s">
        <v>247</v>
      </c>
      <c r="K70" s="2" t="s">
        <v>200</v>
      </c>
      <c r="L70" s="2" t="s">
        <v>39</v>
      </c>
      <c r="M70" s="2" t="s">
        <v>39</v>
      </c>
      <c r="N70" s="2" t="s">
        <v>39</v>
      </c>
      <c r="O70" s="2" t="s">
        <v>38</v>
      </c>
      <c r="P70" s="2" t="s">
        <v>39</v>
      </c>
      <c r="Q70" s="2" t="s">
        <v>38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290</v>
      </c>
      <c r="AC70" s="2" t="s">
        <v>290</v>
      </c>
      <c r="AD70" s="2" t="s">
        <v>290</v>
      </c>
    </row>
    <row r="71" spans="1:30" x14ac:dyDescent="0.3">
      <c r="A71" s="4" t="s">
        <v>317</v>
      </c>
      <c r="B71" s="4" t="s">
        <v>318</v>
      </c>
      <c r="C71" s="5" t="s">
        <v>319</v>
      </c>
      <c r="D71" s="5" t="s">
        <v>320</v>
      </c>
      <c r="E71" s="5">
        <v>180</v>
      </c>
      <c r="F71" s="4" t="s">
        <v>5</v>
      </c>
      <c r="G71" s="4" t="s">
        <v>290</v>
      </c>
      <c r="H71" s="4" t="s">
        <v>296</v>
      </c>
      <c r="I71" s="4" t="s">
        <v>290</v>
      </c>
      <c r="J71" s="4" t="s">
        <v>321</v>
      </c>
      <c r="K71" s="4" t="s">
        <v>200</v>
      </c>
      <c r="L71" s="4" t="s">
        <v>39</v>
      </c>
      <c r="M71" s="4" t="s">
        <v>39</v>
      </c>
      <c r="N71" s="4" t="s">
        <v>39</v>
      </c>
      <c r="O71" s="4" t="s">
        <v>38</v>
      </c>
      <c r="P71" s="4" t="s">
        <v>39</v>
      </c>
      <c r="Q71" s="4" t="s">
        <v>38</v>
      </c>
      <c r="R71" s="4" t="s">
        <v>39</v>
      </c>
      <c r="S71" s="4" t="s">
        <v>39</v>
      </c>
      <c r="T71" s="4" t="s">
        <v>39</v>
      </c>
      <c r="U71" s="4" t="s">
        <v>39</v>
      </c>
      <c r="V71" s="4" t="s">
        <v>39</v>
      </c>
      <c r="W71" s="4" t="s">
        <v>39</v>
      </c>
      <c r="X71" s="4" t="s">
        <v>39</v>
      </c>
      <c r="Y71" s="4" t="s">
        <v>39</v>
      </c>
      <c r="Z71" s="4" t="s">
        <v>39</v>
      </c>
      <c r="AA71" s="4" t="s">
        <v>39</v>
      </c>
      <c r="AB71" s="4" t="s">
        <v>290</v>
      </c>
      <c r="AC71" s="4" t="s">
        <v>290</v>
      </c>
      <c r="AD71" s="4" t="s">
        <v>290</v>
      </c>
    </row>
    <row r="72" spans="1:30" x14ac:dyDescent="0.3">
      <c r="A72" s="2" t="s">
        <v>322</v>
      </c>
      <c r="B72" s="2" t="s">
        <v>323</v>
      </c>
      <c r="C72" s="3" t="s">
        <v>324</v>
      </c>
      <c r="D72" s="3" t="s">
        <v>325</v>
      </c>
      <c r="E72" s="3">
        <v>818</v>
      </c>
      <c r="F72" s="2" t="s">
        <v>5</v>
      </c>
      <c r="G72" s="2" t="s">
        <v>290</v>
      </c>
      <c r="H72" s="2" t="s">
        <v>291</v>
      </c>
      <c r="I72" s="2" t="s">
        <v>290</v>
      </c>
      <c r="J72" s="2" t="s">
        <v>247</v>
      </c>
      <c r="K72" s="2" t="s">
        <v>200</v>
      </c>
      <c r="L72" s="2" t="s">
        <v>39</v>
      </c>
      <c r="M72" s="2" t="s">
        <v>39</v>
      </c>
      <c r="N72" s="2" t="s">
        <v>39</v>
      </c>
      <c r="O72" s="2" t="s">
        <v>38</v>
      </c>
      <c r="P72" s="2" t="s">
        <v>39</v>
      </c>
      <c r="Q72" s="2" t="s">
        <v>38</v>
      </c>
      <c r="R72" s="2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38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290</v>
      </c>
      <c r="AC72" s="2" t="s">
        <v>290</v>
      </c>
      <c r="AD72" s="2" t="s">
        <v>290</v>
      </c>
    </row>
    <row r="73" spans="1:30" x14ac:dyDescent="0.3">
      <c r="A73" s="4" t="s">
        <v>326</v>
      </c>
      <c r="B73" s="4" t="s">
        <v>327</v>
      </c>
      <c r="C73" s="5" t="s">
        <v>328</v>
      </c>
      <c r="D73" s="5" t="s">
        <v>329</v>
      </c>
      <c r="E73" s="5">
        <v>226</v>
      </c>
      <c r="F73" s="4" t="s">
        <v>5</v>
      </c>
      <c r="G73" s="4" t="s">
        <v>290</v>
      </c>
      <c r="H73" s="4" t="s">
        <v>296</v>
      </c>
      <c r="I73" s="4" t="s">
        <v>290</v>
      </c>
      <c r="J73" s="4" t="s">
        <v>247</v>
      </c>
      <c r="K73" s="4" t="s">
        <v>200</v>
      </c>
      <c r="L73" s="4" t="s">
        <v>39</v>
      </c>
      <c r="M73" s="4" t="s">
        <v>39</v>
      </c>
      <c r="N73" s="4" t="s">
        <v>39</v>
      </c>
      <c r="O73" s="4" t="s">
        <v>38</v>
      </c>
      <c r="P73" s="4" t="s">
        <v>39</v>
      </c>
      <c r="Q73" s="4" t="s">
        <v>38</v>
      </c>
      <c r="R73" s="4" t="s">
        <v>39</v>
      </c>
      <c r="S73" s="4" t="s">
        <v>39</v>
      </c>
      <c r="T73" s="4" t="s">
        <v>39</v>
      </c>
      <c r="U73" s="4" t="s">
        <v>39</v>
      </c>
      <c r="V73" s="4" t="s">
        <v>39</v>
      </c>
      <c r="W73" s="4" t="s">
        <v>39</v>
      </c>
      <c r="X73" s="4" t="s">
        <v>39</v>
      </c>
      <c r="Y73" s="4" t="s">
        <v>39</v>
      </c>
      <c r="Z73" s="4" t="s">
        <v>39</v>
      </c>
      <c r="AA73" s="4" t="s">
        <v>39</v>
      </c>
      <c r="AB73" s="4" t="s">
        <v>290</v>
      </c>
      <c r="AC73" s="4" t="s">
        <v>290</v>
      </c>
      <c r="AD73" s="4" t="s">
        <v>290</v>
      </c>
    </row>
    <row r="74" spans="1:30" x14ac:dyDescent="0.3">
      <c r="A74" s="2" t="s">
        <v>330</v>
      </c>
      <c r="B74" s="2" t="s">
        <v>331</v>
      </c>
      <c r="C74" s="3" t="s">
        <v>332</v>
      </c>
      <c r="D74" s="3" t="s">
        <v>333</v>
      </c>
      <c r="E74" s="3">
        <v>232</v>
      </c>
      <c r="F74" s="2" t="s">
        <v>5</v>
      </c>
      <c r="G74" s="2" t="s">
        <v>290</v>
      </c>
      <c r="H74" s="2" t="s">
        <v>296</v>
      </c>
      <c r="I74" s="2" t="s">
        <v>290</v>
      </c>
      <c r="J74" s="2" t="s">
        <v>321</v>
      </c>
      <c r="K74" s="2" t="s">
        <v>200</v>
      </c>
      <c r="L74" s="2" t="s">
        <v>39</v>
      </c>
      <c r="M74" s="2" t="s">
        <v>39</v>
      </c>
      <c r="N74" s="2" t="s">
        <v>39</v>
      </c>
      <c r="O74" s="2" t="s">
        <v>38</v>
      </c>
      <c r="P74" s="2" t="s">
        <v>39</v>
      </c>
      <c r="Q74" s="2" t="s">
        <v>38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290</v>
      </c>
      <c r="AC74" s="2" t="s">
        <v>290</v>
      </c>
      <c r="AD74" s="2" t="s">
        <v>290</v>
      </c>
    </row>
    <row r="75" spans="1:30" x14ac:dyDescent="0.3">
      <c r="A75" s="4" t="s">
        <v>334</v>
      </c>
      <c r="B75" s="4" t="s">
        <v>334</v>
      </c>
      <c r="C75" s="5" t="s">
        <v>335</v>
      </c>
      <c r="D75" s="5" t="s">
        <v>336</v>
      </c>
      <c r="E75" s="5">
        <v>748</v>
      </c>
      <c r="F75" s="4" t="s">
        <v>5</v>
      </c>
      <c r="G75" s="4" t="s">
        <v>290</v>
      </c>
      <c r="H75" s="4" t="s">
        <v>296</v>
      </c>
      <c r="I75" s="4" t="s">
        <v>290</v>
      </c>
      <c r="J75" s="4" t="s">
        <v>247</v>
      </c>
      <c r="K75" s="4" t="s">
        <v>200</v>
      </c>
      <c r="L75" s="4" t="s">
        <v>39</v>
      </c>
      <c r="M75" s="4" t="s">
        <v>39</v>
      </c>
      <c r="N75" s="4" t="s">
        <v>39</v>
      </c>
      <c r="O75" s="4" t="s">
        <v>38</v>
      </c>
      <c r="P75" s="4" t="s">
        <v>39</v>
      </c>
      <c r="Q75" s="4" t="s">
        <v>38</v>
      </c>
      <c r="R75" s="4" t="s">
        <v>39</v>
      </c>
      <c r="S75" s="4" t="s">
        <v>39</v>
      </c>
      <c r="T75" s="4" t="s">
        <v>39</v>
      </c>
      <c r="U75" s="4" t="s">
        <v>39</v>
      </c>
      <c r="V75" s="4" t="s">
        <v>39</v>
      </c>
      <c r="W75" s="4" t="s">
        <v>39</v>
      </c>
      <c r="X75" s="4" t="s">
        <v>39</v>
      </c>
      <c r="Y75" s="4" t="s">
        <v>39</v>
      </c>
      <c r="Z75" s="4" t="s">
        <v>39</v>
      </c>
      <c r="AA75" s="4" t="s">
        <v>39</v>
      </c>
      <c r="AB75" s="4" t="s">
        <v>290</v>
      </c>
      <c r="AC75" s="4" t="s">
        <v>290</v>
      </c>
      <c r="AD75" s="4" t="s">
        <v>290</v>
      </c>
    </row>
    <row r="76" spans="1:30" x14ac:dyDescent="0.3">
      <c r="A76" s="2" t="s">
        <v>337</v>
      </c>
      <c r="B76" s="2" t="s">
        <v>338</v>
      </c>
      <c r="C76" s="3" t="s">
        <v>339</v>
      </c>
      <c r="D76" s="3" t="s">
        <v>340</v>
      </c>
      <c r="E76" s="3">
        <v>231</v>
      </c>
      <c r="F76" s="2" t="s">
        <v>5</v>
      </c>
      <c r="G76" s="2" t="s">
        <v>290</v>
      </c>
      <c r="H76" s="2" t="s">
        <v>296</v>
      </c>
      <c r="I76" s="2" t="s">
        <v>290</v>
      </c>
      <c r="J76" s="2" t="s">
        <v>321</v>
      </c>
      <c r="K76" s="2" t="s">
        <v>200</v>
      </c>
      <c r="L76" s="2" t="s">
        <v>39</v>
      </c>
      <c r="M76" s="2" t="s">
        <v>39</v>
      </c>
      <c r="N76" s="2" t="s">
        <v>39</v>
      </c>
      <c r="O76" s="2" t="s">
        <v>38</v>
      </c>
      <c r="P76" s="2" t="s">
        <v>39</v>
      </c>
      <c r="Q76" s="2" t="s">
        <v>38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38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290</v>
      </c>
      <c r="AC76" s="2" t="s">
        <v>290</v>
      </c>
      <c r="AD76" s="2" t="s">
        <v>290</v>
      </c>
    </row>
    <row r="77" spans="1:30" x14ac:dyDescent="0.3">
      <c r="A77" s="4" t="s">
        <v>341</v>
      </c>
      <c r="B77" s="4" t="s">
        <v>342</v>
      </c>
      <c r="C77" s="5" t="s">
        <v>343</v>
      </c>
      <c r="D77" s="5" t="s">
        <v>344</v>
      </c>
      <c r="E77" s="5">
        <v>266</v>
      </c>
      <c r="F77" s="4" t="s">
        <v>5</v>
      </c>
      <c r="G77" s="4" t="s">
        <v>290</v>
      </c>
      <c r="H77" s="4" t="s">
        <v>296</v>
      </c>
      <c r="I77" s="4" t="s">
        <v>290</v>
      </c>
      <c r="J77" s="4" t="s">
        <v>45</v>
      </c>
      <c r="K77" s="4" t="s">
        <v>200</v>
      </c>
      <c r="L77" s="4" t="s">
        <v>39</v>
      </c>
      <c r="M77" s="4" t="s">
        <v>39</v>
      </c>
      <c r="N77" s="4" t="s">
        <v>39</v>
      </c>
      <c r="O77" s="4" t="s">
        <v>38</v>
      </c>
      <c r="P77" s="4" t="s">
        <v>39</v>
      </c>
      <c r="Q77" s="4" t="s">
        <v>38</v>
      </c>
      <c r="R77" s="4" t="s">
        <v>39</v>
      </c>
      <c r="S77" s="4" t="s">
        <v>39</v>
      </c>
      <c r="T77" s="4" t="s">
        <v>39</v>
      </c>
      <c r="U77" s="4" t="s">
        <v>39</v>
      </c>
      <c r="V77" s="4" t="s">
        <v>39</v>
      </c>
      <c r="W77" s="4" t="s">
        <v>39</v>
      </c>
      <c r="X77" s="4" t="s">
        <v>39</v>
      </c>
      <c r="Y77" s="4" t="s">
        <v>39</v>
      </c>
      <c r="Z77" s="4" t="s">
        <v>39</v>
      </c>
      <c r="AA77" s="4" t="s">
        <v>39</v>
      </c>
      <c r="AB77" s="4" t="s">
        <v>290</v>
      </c>
      <c r="AC77" s="4" t="s">
        <v>290</v>
      </c>
      <c r="AD77" s="4" t="s">
        <v>290</v>
      </c>
    </row>
    <row r="78" spans="1:30" x14ac:dyDescent="0.3">
      <c r="A78" s="2" t="s">
        <v>345</v>
      </c>
      <c r="B78" s="2" t="s">
        <v>346</v>
      </c>
      <c r="C78" s="3" t="s">
        <v>347</v>
      </c>
      <c r="D78" s="3" t="s">
        <v>348</v>
      </c>
      <c r="E78" s="3">
        <v>288</v>
      </c>
      <c r="F78" s="2" t="s">
        <v>5</v>
      </c>
      <c r="G78" s="2" t="s">
        <v>290</v>
      </c>
      <c r="H78" s="2" t="s">
        <v>296</v>
      </c>
      <c r="I78" s="2" t="s">
        <v>290</v>
      </c>
      <c r="J78" s="2" t="s">
        <v>247</v>
      </c>
      <c r="K78" s="2" t="s">
        <v>200</v>
      </c>
      <c r="L78" s="2" t="s">
        <v>39</v>
      </c>
      <c r="M78" s="2" t="s">
        <v>39</v>
      </c>
      <c r="N78" s="2" t="s">
        <v>39</v>
      </c>
      <c r="O78" s="2" t="s">
        <v>38</v>
      </c>
      <c r="P78" s="2" t="s">
        <v>39</v>
      </c>
      <c r="Q78" s="2" t="s">
        <v>38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290</v>
      </c>
      <c r="AC78" s="2" t="s">
        <v>290</v>
      </c>
      <c r="AD78" s="2" t="s">
        <v>290</v>
      </c>
    </row>
    <row r="79" spans="1:30" x14ac:dyDescent="0.3">
      <c r="A79" s="4" t="s">
        <v>349</v>
      </c>
      <c r="B79" s="4" t="s">
        <v>350</v>
      </c>
      <c r="C79" s="5" t="s">
        <v>351</v>
      </c>
      <c r="D79" s="5" t="s">
        <v>352</v>
      </c>
      <c r="E79" s="5">
        <v>404</v>
      </c>
      <c r="F79" s="4" t="s">
        <v>5</v>
      </c>
      <c r="G79" s="4" t="s">
        <v>290</v>
      </c>
      <c r="H79" s="4" t="s">
        <v>296</v>
      </c>
      <c r="I79" s="4" t="s">
        <v>290</v>
      </c>
      <c r="J79" s="4" t="s">
        <v>247</v>
      </c>
      <c r="K79" s="4" t="s">
        <v>200</v>
      </c>
      <c r="L79" s="4" t="s">
        <v>39</v>
      </c>
      <c r="M79" s="4" t="s">
        <v>39</v>
      </c>
      <c r="N79" s="4" t="s">
        <v>39</v>
      </c>
      <c r="O79" s="4" t="s">
        <v>38</v>
      </c>
      <c r="P79" s="4" t="s">
        <v>39</v>
      </c>
      <c r="Q79" s="4" t="s">
        <v>38</v>
      </c>
      <c r="R79" s="4" t="s">
        <v>39</v>
      </c>
      <c r="S79" s="4" t="s">
        <v>39</v>
      </c>
      <c r="T79" s="4" t="s">
        <v>39</v>
      </c>
      <c r="U79" s="4" t="s">
        <v>39</v>
      </c>
      <c r="V79" s="4" t="s">
        <v>39</v>
      </c>
      <c r="W79" s="4" t="s">
        <v>39</v>
      </c>
      <c r="X79" s="4" t="s">
        <v>39</v>
      </c>
      <c r="Y79" s="4" t="s">
        <v>39</v>
      </c>
      <c r="Z79" s="4" t="s">
        <v>39</v>
      </c>
      <c r="AA79" s="4" t="s">
        <v>39</v>
      </c>
      <c r="AB79" s="4" t="s">
        <v>290</v>
      </c>
      <c r="AC79" s="4" t="s">
        <v>290</v>
      </c>
      <c r="AD79" s="4" t="s">
        <v>290</v>
      </c>
    </row>
    <row r="80" spans="1:30" x14ac:dyDescent="0.3">
      <c r="A80" s="2" t="s">
        <v>353</v>
      </c>
      <c r="B80" s="2" t="s">
        <v>354</v>
      </c>
      <c r="C80" s="3" t="s">
        <v>355</v>
      </c>
      <c r="D80" s="3" t="s">
        <v>356</v>
      </c>
      <c r="E80" s="3">
        <v>434</v>
      </c>
      <c r="F80" s="2" t="s">
        <v>5</v>
      </c>
      <c r="G80" s="2" t="s">
        <v>290</v>
      </c>
      <c r="H80" s="2" t="s">
        <v>291</v>
      </c>
      <c r="I80" s="2" t="s">
        <v>290</v>
      </c>
      <c r="J80" s="2" t="s">
        <v>45</v>
      </c>
      <c r="K80" s="2" t="s">
        <v>200</v>
      </c>
      <c r="L80" s="2" t="s">
        <v>39</v>
      </c>
      <c r="M80" s="2" t="s">
        <v>39</v>
      </c>
      <c r="N80" s="2" t="s">
        <v>39</v>
      </c>
      <c r="O80" s="2" t="s">
        <v>38</v>
      </c>
      <c r="P80" s="2" t="s">
        <v>39</v>
      </c>
      <c r="Q80" s="2" t="s">
        <v>38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290</v>
      </c>
      <c r="AC80" s="2" t="s">
        <v>290</v>
      </c>
      <c r="AD80" s="2" t="s">
        <v>290</v>
      </c>
    </row>
    <row r="81" spans="1:30" x14ac:dyDescent="0.3">
      <c r="A81" s="4" t="s">
        <v>357</v>
      </c>
      <c r="B81" s="4" t="s">
        <v>358</v>
      </c>
      <c r="C81" s="5" t="s">
        <v>359</v>
      </c>
      <c r="D81" s="5" t="s">
        <v>360</v>
      </c>
      <c r="E81" s="5">
        <v>450</v>
      </c>
      <c r="F81" s="4" t="s">
        <v>5</v>
      </c>
      <c r="G81" s="4" t="s">
        <v>290</v>
      </c>
      <c r="H81" s="4" t="s">
        <v>296</v>
      </c>
      <c r="I81" s="4" t="s">
        <v>290</v>
      </c>
      <c r="J81" s="4" t="s">
        <v>321</v>
      </c>
      <c r="K81" s="4" t="s">
        <v>200</v>
      </c>
      <c r="L81" s="4" t="s">
        <v>39</v>
      </c>
      <c r="M81" s="4" t="s">
        <v>39</v>
      </c>
      <c r="N81" s="4" t="s">
        <v>39</v>
      </c>
      <c r="O81" s="4" t="s">
        <v>38</v>
      </c>
      <c r="P81" s="4" t="s">
        <v>39</v>
      </c>
      <c r="Q81" s="4" t="s">
        <v>38</v>
      </c>
      <c r="R81" s="4" t="s">
        <v>39</v>
      </c>
      <c r="S81" s="4" t="s">
        <v>39</v>
      </c>
      <c r="T81" s="4" t="s">
        <v>39</v>
      </c>
      <c r="U81" s="4" t="s">
        <v>39</v>
      </c>
      <c r="V81" s="4" t="s">
        <v>39</v>
      </c>
      <c r="W81" s="4" t="s">
        <v>39</v>
      </c>
      <c r="X81" s="4" t="s">
        <v>39</v>
      </c>
      <c r="Y81" s="4" t="s">
        <v>39</v>
      </c>
      <c r="Z81" s="4" t="s">
        <v>39</v>
      </c>
      <c r="AA81" s="4" t="s">
        <v>39</v>
      </c>
      <c r="AB81" s="4" t="s">
        <v>290</v>
      </c>
      <c r="AC81" s="4" t="s">
        <v>290</v>
      </c>
      <c r="AD81" s="4" t="s">
        <v>290</v>
      </c>
    </row>
    <row r="82" spans="1:30" x14ac:dyDescent="0.3">
      <c r="A82" s="2" t="s">
        <v>361</v>
      </c>
      <c r="B82" s="2" t="s">
        <v>362</v>
      </c>
      <c r="C82" s="3" t="s">
        <v>363</v>
      </c>
      <c r="D82" s="3" t="s">
        <v>364</v>
      </c>
      <c r="E82" s="3">
        <v>480</v>
      </c>
      <c r="F82" s="2" t="s">
        <v>5</v>
      </c>
      <c r="G82" s="2" t="s">
        <v>290</v>
      </c>
      <c r="H82" s="2" t="s">
        <v>296</v>
      </c>
      <c r="I82" s="2" t="s">
        <v>290</v>
      </c>
      <c r="J82" s="2" t="s">
        <v>45</v>
      </c>
      <c r="K82" s="2" t="s">
        <v>200</v>
      </c>
      <c r="L82" s="2" t="s">
        <v>39</v>
      </c>
      <c r="M82" s="2" t="s">
        <v>39</v>
      </c>
      <c r="N82" s="2" t="s">
        <v>39</v>
      </c>
      <c r="O82" s="2" t="s">
        <v>38</v>
      </c>
      <c r="P82" s="2" t="s">
        <v>39</v>
      </c>
      <c r="Q82" s="2" t="s">
        <v>38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290</v>
      </c>
      <c r="AC82" s="2" t="s">
        <v>290</v>
      </c>
      <c r="AD82" s="2" t="s">
        <v>290</v>
      </c>
    </row>
    <row r="83" spans="1:30" x14ac:dyDescent="0.3">
      <c r="A83" s="4" t="s">
        <v>365</v>
      </c>
      <c r="B83" s="4" t="s">
        <v>366</v>
      </c>
      <c r="C83" s="5" t="s">
        <v>367</v>
      </c>
      <c r="D83" s="5" t="s">
        <v>368</v>
      </c>
      <c r="E83" s="5">
        <v>504</v>
      </c>
      <c r="F83" s="4" t="s">
        <v>5</v>
      </c>
      <c r="G83" s="4" t="s">
        <v>290</v>
      </c>
      <c r="H83" s="4" t="s">
        <v>291</v>
      </c>
      <c r="I83" s="4" t="s">
        <v>290</v>
      </c>
      <c r="J83" s="4" t="s">
        <v>45</v>
      </c>
      <c r="K83" s="4" t="s">
        <v>200</v>
      </c>
      <c r="L83" s="4" t="s">
        <v>39</v>
      </c>
      <c r="M83" s="4" t="s">
        <v>39</v>
      </c>
      <c r="N83" s="4" t="s">
        <v>39</v>
      </c>
      <c r="O83" s="4" t="s">
        <v>38</v>
      </c>
      <c r="P83" s="4" t="s">
        <v>39</v>
      </c>
      <c r="Q83" s="4" t="s">
        <v>38</v>
      </c>
      <c r="R83" s="4" t="s">
        <v>39</v>
      </c>
      <c r="S83" s="4" t="s">
        <v>39</v>
      </c>
      <c r="T83" s="4" t="s">
        <v>39</v>
      </c>
      <c r="U83" s="4" t="s">
        <v>39</v>
      </c>
      <c r="V83" s="4" t="s">
        <v>39</v>
      </c>
      <c r="W83" s="4" t="s">
        <v>39</v>
      </c>
      <c r="X83" s="4" t="s">
        <v>39</v>
      </c>
      <c r="Y83" s="4" t="s">
        <v>39</v>
      </c>
      <c r="Z83" s="4" t="s">
        <v>39</v>
      </c>
      <c r="AA83" s="4" t="s">
        <v>39</v>
      </c>
      <c r="AB83" s="4" t="s">
        <v>290</v>
      </c>
      <c r="AC83" s="4" t="s">
        <v>290</v>
      </c>
      <c r="AD83" s="4" t="s">
        <v>290</v>
      </c>
    </row>
    <row r="84" spans="1:30" x14ac:dyDescent="0.3">
      <c r="A84" s="2" t="s">
        <v>369</v>
      </c>
      <c r="B84" s="2" t="s">
        <v>370</v>
      </c>
      <c r="C84" s="3" t="s">
        <v>371</v>
      </c>
      <c r="D84" s="3" t="s">
        <v>372</v>
      </c>
      <c r="E84" s="3">
        <v>508</v>
      </c>
      <c r="F84" s="2" t="s">
        <v>5</v>
      </c>
      <c r="G84" s="2" t="s">
        <v>290</v>
      </c>
      <c r="H84" s="2" t="s">
        <v>296</v>
      </c>
      <c r="I84" s="2" t="s">
        <v>290</v>
      </c>
      <c r="J84" s="2" t="s">
        <v>321</v>
      </c>
      <c r="K84" s="2" t="s">
        <v>200</v>
      </c>
      <c r="L84" s="2" t="s">
        <v>39</v>
      </c>
      <c r="M84" s="2" t="s">
        <v>39</v>
      </c>
      <c r="N84" s="2" t="s">
        <v>39</v>
      </c>
      <c r="O84" s="2" t="s">
        <v>38</v>
      </c>
      <c r="P84" s="2" t="s">
        <v>39</v>
      </c>
      <c r="Q84" s="2" t="s">
        <v>38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290</v>
      </c>
      <c r="AC84" s="2" t="s">
        <v>290</v>
      </c>
      <c r="AD84" s="2" t="s">
        <v>290</v>
      </c>
    </row>
    <row r="85" spans="1:30" x14ac:dyDescent="0.3">
      <c r="A85" s="4" t="s">
        <v>373</v>
      </c>
      <c r="B85" s="4" t="s">
        <v>374</v>
      </c>
      <c r="C85" s="5" t="s">
        <v>375</v>
      </c>
      <c r="D85" s="5" t="s">
        <v>376</v>
      </c>
      <c r="E85" s="5">
        <v>516</v>
      </c>
      <c r="F85" s="4" t="s">
        <v>5</v>
      </c>
      <c r="G85" s="4" t="s">
        <v>290</v>
      </c>
      <c r="H85" s="4" t="s">
        <v>296</v>
      </c>
      <c r="I85" s="4" t="s">
        <v>290</v>
      </c>
      <c r="J85" s="4" t="s">
        <v>45</v>
      </c>
      <c r="K85" s="4" t="s">
        <v>200</v>
      </c>
      <c r="L85" s="4" t="s">
        <v>39</v>
      </c>
      <c r="M85" s="4" t="s">
        <v>39</v>
      </c>
      <c r="N85" s="4" t="s">
        <v>39</v>
      </c>
      <c r="O85" s="4" t="s">
        <v>38</v>
      </c>
      <c r="P85" s="4" t="s">
        <v>39</v>
      </c>
      <c r="Q85" s="4" t="s">
        <v>38</v>
      </c>
      <c r="R85" s="4" t="s">
        <v>39</v>
      </c>
      <c r="S85" s="4" t="s">
        <v>39</v>
      </c>
      <c r="T85" s="4" t="s">
        <v>39</v>
      </c>
      <c r="U85" s="4" t="s">
        <v>39</v>
      </c>
      <c r="V85" s="4" t="s">
        <v>39</v>
      </c>
      <c r="W85" s="4" t="s">
        <v>39</v>
      </c>
      <c r="X85" s="4" t="s">
        <v>39</v>
      </c>
      <c r="Y85" s="4" t="s">
        <v>39</v>
      </c>
      <c r="Z85" s="4" t="s">
        <v>39</v>
      </c>
      <c r="AA85" s="4" t="s">
        <v>39</v>
      </c>
      <c r="AB85" s="4" t="s">
        <v>290</v>
      </c>
      <c r="AC85" s="4" t="s">
        <v>290</v>
      </c>
      <c r="AD85" s="4" t="s">
        <v>290</v>
      </c>
    </row>
    <row r="86" spans="1:30" x14ac:dyDescent="0.3">
      <c r="A86" s="2" t="s">
        <v>377</v>
      </c>
      <c r="B86" s="2" t="s">
        <v>378</v>
      </c>
      <c r="C86" s="3" t="s">
        <v>379</v>
      </c>
      <c r="D86" s="3" t="s">
        <v>380</v>
      </c>
      <c r="E86" s="3">
        <v>562</v>
      </c>
      <c r="F86" s="2" t="s">
        <v>5</v>
      </c>
      <c r="G86" s="2" t="s">
        <v>290</v>
      </c>
      <c r="H86" s="2" t="s">
        <v>296</v>
      </c>
      <c r="I86" s="2" t="s">
        <v>290</v>
      </c>
      <c r="J86" s="2" t="s">
        <v>321</v>
      </c>
      <c r="K86" s="2" t="s">
        <v>200</v>
      </c>
      <c r="L86" s="2" t="s">
        <v>39</v>
      </c>
      <c r="M86" s="2" t="s">
        <v>39</v>
      </c>
      <c r="N86" s="2" t="s">
        <v>39</v>
      </c>
      <c r="O86" s="2" t="s">
        <v>38</v>
      </c>
      <c r="P86" s="2" t="s">
        <v>39</v>
      </c>
      <c r="Q86" s="2" t="s">
        <v>38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290</v>
      </c>
      <c r="AC86" s="2" t="s">
        <v>290</v>
      </c>
      <c r="AD86" s="2" t="s">
        <v>290</v>
      </c>
    </row>
    <row r="87" spans="1:30" x14ac:dyDescent="0.3">
      <c r="A87" s="4" t="s">
        <v>381</v>
      </c>
      <c r="B87" s="4" t="s">
        <v>382</v>
      </c>
      <c r="C87" s="5" t="s">
        <v>383</v>
      </c>
      <c r="D87" s="5" t="s">
        <v>384</v>
      </c>
      <c r="E87" s="5">
        <v>566</v>
      </c>
      <c r="F87" s="4" t="s">
        <v>5</v>
      </c>
      <c r="G87" s="4" t="s">
        <v>290</v>
      </c>
      <c r="H87" s="4" t="s">
        <v>296</v>
      </c>
      <c r="I87" s="4" t="s">
        <v>290</v>
      </c>
      <c r="J87" s="4" t="s">
        <v>247</v>
      </c>
      <c r="K87" s="4" t="s">
        <v>200</v>
      </c>
      <c r="L87" s="4" t="s">
        <v>39</v>
      </c>
      <c r="M87" s="4" t="s">
        <v>39</v>
      </c>
      <c r="N87" s="4" t="s">
        <v>39</v>
      </c>
      <c r="O87" s="4" t="s">
        <v>38</v>
      </c>
      <c r="P87" s="4" t="s">
        <v>39</v>
      </c>
      <c r="Q87" s="4" t="s">
        <v>38</v>
      </c>
      <c r="R87" s="4" t="s">
        <v>39</v>
      </c>
      <c r="S87" s="4" t="s">
        <v>39</v>
      </c>
      <c r="T87" s="4" t="s">
        <v>39</v>
      </c>
      <c r="U87" s="4" t="s">
        <v>39</v>
      </c>
      <c r="V87" s="4" t="s">
        <v>39</v>
      </c>
      <c r="W87" s="4" t="s">
        <v>39</v>
      </c>
      <c r="X87" s="4" t="s">
        <v>39</v>
      </c>
      <c r="Y87" s="4" t="s">
        <v>39</v>
      </c>
      <c r="Z87" s="4" t="s">
        <v>39</v>
      </c>
      <c r="AA87" s="4" t="s">
        <v>39</v>
      </c>
      <c r="AB87" s="4" t="s">
        <v>290</v>
      </c>
      <c r="AC87" s="4" t="s">
        <v>290</v>
      </c>
      <c r="AD87" s="4" t="s">
        <v>290</v>
      </c>
    </row>
    <row r="88" spans="1:30" x14ac:dyDescent="0.3">
      <c r="A88" s="2" t="s">
        <v>385</v>
      </c>
      <c r="B88" s="2" t="s">
        <v>386</v>
      </c>
      <c r="C88" s="3" t="s">
        <v>387</v>
      </c>
      <c r="D88" s="3" t="s">
        <v>388</v>
      </c>
      <c r="E88" s="3">
        <v>646</v>
      </c>
      <c r="F88" s="2" t="s">
        <v>5</v>
      </c>
      <c r="G88" s="2" t="s">
        <v>290</v>
      </c>
      <c r="H88" s="2" t="s">
        <v>296</v>
      </c>
      <c r="I88" s="2" t="s">
        <v>290</v>
      </c>
      <c r="J88" s="2" t="s">
        <v>321</v>
      </c>
      <c r="K88" s="2" t="s">
        <v>200</v>
      </c>
      <c r="L88" s="2" t="s">
        <v>39</v>
      </c>
      <c r="M88" s="2" t="s">
        <v>39</v>
      </c>
      <c r="N88" s="2" t="s">
        <v>39</v>
      </c>
      <c r="O88" s="2" t="s">
        <v>38</v>
      </c>
      <c r="P88" s="2" t="s">
        <v>39</v>
      </c>
      <c r="Q88" s="2" t="s">
        <v>38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290</v>
      </c>
      <c r="AC88" s="2" t="s">
        <v>290</v>
      </c>
      <c r="AD88" s="2" t="s">
        <v>290</v>
      </c>
    </row>
    <row r="89" spans="1:30" x14ac:dyDescent="0.3">
      <c r="A89" s="4" t="s">
        <v>389</v>
      </c>
      <c r="B89" s="4" t="s">
        <v>390</v>
      </c>
      <c r="C89" s="5" t="s">
        <v>391</v>
      </c>
      <c r="D89" s="5" t="s">
        <v>392</v>
      </c>
      <c r="E89" s="5">
        <v>686</v>
      </c>
      <c r="F89" s="4" t="s">
        <v>5</v>
      </c>
      <c r="G89" s="4" t="s">
        <v>290</v>
      </c>
      <c r="H89" s="4" t="s">
        <v>296</v>
      </c>
      <c r="I89" s="4" t="s">
        <v>290</v>
      </c>
      <c r="J89" s="4" t="s">
        <v>247</v>
      </c>
      <c r="K89" s="4" t="s">
        <v>200</v>
      </c>
      <c r="L89" s="4" t="s">
        <v>39</v>
      </c>
      <c r="M89" s="4" t="s">
        <v>39</v>
      </c>
      <c r="N89" s="4" t="s">
        <v>39</v>
      </c>
      <c r="O89" s="4" t="s">
        <v>38</v>
      </c>
      <c r="P89" s="4" t="s">
        <v>39</v>
      </c>
      <c r="Q89" s="4" t="s">
        <v>38</v>
      </c>
      <c r="R89" s="4" t="s">
        <v>39</v>
      </c>
      <c r="S89" s="4" t="s">
        <v>39</v>
      </c>
      <c r="T89" s="4" t="s">
        <v>39</v>
      </c>
      <c r="U89" s="4" t="s">
        <v>39</v>
      </c>
      <c r="V89" s="4" t="s">
        <v>39</v>
      </c>
      <c r="W89" s="4" t="s">
        <v>39</v>
      </c>
      <c r="X89" s="4" t="s">
        <v>39</v>
      </c>
      <c r="Y89" s="4" t="s">
        <v>39</v>
      </c>
      <c r="Z89" s="4" t="s">
        <v>39</v>
      </c>
      <c r="AA89" s="4" t="s">
        <v>39</v>
      </c>
      <c r="AB89" s="4" t="s">
        <v>290</v>
      </c>
      <c r="AC89" s="4" t="s">
        <v>290</v>
      </c>
      <c r="AD89" s="4" t="s">
        <v>290</v>
      </c>
    </row>
    <row r="90" spans="1:30" x14ac:dyDescent="0.3">
      <c r="A90" s="2" t="s">
        <v>393</v>
      </c>
      <c r="B90" s="2" t="s">
        <v>394</v>
      </c>
      <c r="C90" s="3" t="s">
        <v>395</v>
      </c>
      <c r="D90" s="3" t="s">
        <v>396</v>
      </c>
      <c r="E90" s="3">
        <v>710</v>
      </c>
      <c r="F90" s="2" t="s">
        <v>5</v>
      </c>
      <c r="G90" s="2" t="s">
        <v>290</v>
      </c>
      <c r="H90" s="2" t="s">
        <v>296</v>
      </c>
      <c r="I90" s="2" t="s">
        <v>290</v>
      </c>
      <c r="J90" s="2" t="s">
        <v>45</v>
      </c>
      <c r="K90" s="2" t="s">
        <v>200</v>
      </c>
      <c r="L90" s="2" t="s">
        <v>39</v>
      </c>
      <c r="M90" s="2" t="s">
        <v>39</v>
      </c>
      <c r="N90" s="2" t="s">
        <v>39</v>
      </c>
      <c r="O90" s="2" t="s">
        <v>38</v>
      </c>
      <c r="P90" s="2" t="s">
        <v>39</v>
      </c>
      <c r="Q90" s="2" t="s">
        <v>38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38</v>
      </c>
      <c r="W90" s="2" t="s">
        <v>38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290</v>
      </c>
      <c r="AC90" s="2" t="s">
        <v>290</v>
      </c>
      <c r="AD90" s="2" t="s">
        <v>21</v>
      </c>
    </row>
    <row r="91" spans="1:30" x14ac:dyDescent="0.3">
      <c r="A91" s="4" t="s">
        <v>397</v>
      </c>
      <c r="B91" s="4" t="s">
        <v>398</v>
      </c>
      <c r="C91" s="5" t="s">
        <v>399</v>
      </c>
      <c r="D91" s="5" t="s">
        <v>400</v>
      </c>
      <c r="E91" s="5">
        <v>728</v>
      </c>
      <c r="F91" s="4" t="s">
        <v>5</v>
      </c>
      <c r="G91" s="4" t="s">
        <v>290</v>
      </c>
      <c r="H91" s="4" t="s">
        <v>296</v>
      </c>
      <c r="I91" s="4" t="s">
        <v>290</v>
      </c>
      <c r="J91" s="4" t="s">
        <v>321</v>
      </c>
      <c r="K91" s="4" t="s">
        <v>200</v>
      </c>
      <c r="L91" s="4" t="s">
        <v>39</v>
      </c>
      <c r="M91" s="4" t="s">
        <v>39</v>
      </c>
      <c r="N91" s="4" t="s">
        <v>39</v>
      </c>
      <c r="O91" s="4" t="s">
        <v>38</v>
      </c>
      <c r="P91" s="4" t="s">
        <v>39</v>
      </c>
      <c r="Q91" s="4" t="s">
        <v>38</v>
      </c>
      <c r="R91" s="4" t="s">
        <v>39</v>
      </c>
      <c r="S91" s="4" t="s">
        <v>39</v>
      </c>
      <c r="T91" s="4" t="s">
        <v>39</v>
      </c>
      <c r="U91" s="4" t="s">
        <v>39</v>
      </c>
      <c r="V91" s="4" t="s">
        <v>39</v>
      </c>
      <c r="W91" s="4" t="s">
        <v>39</v>
      </c>
      <c r="X91" s="4" t="s">
        <v>39</v>
      </c>
      <c r="Y91" s="4" t="s">
        <v>39</v>
      </c>
      <c r="Z91" s="4" t="s">
        <v>39</v>
      </c>
      <c r="AA91" s="4" t="s">
        <v>39</v>
      </c>
      <c r="AB91" s="4" t="s">
        <v>290</v>
      </c>
      <c r="AC91" s="4" t="s">
        <v>290</v>
      </c>
      <c r="AD91" s="4" t="s">
        <v>290</v>
      </c>
    </row>
    <row r="92" spans="1:30" x14ac:dyDescent="0.3">
      <c r="A92" s="2" t="s">
        <v>401</v>
      </c>
      <c r="B92" s="2" t="s">
        <v>402</v>
      </c>
      <c r="C92" s="3" t="s">
        <v>403</v>
      </c>
      <c r="D92" s="3" t="s">
        <v>404</v>
      </c>
      <c r="E92" s="3">
        <v>729</v>
      </c>
      <c r="F92" s="2" t="s">
        <v>5</v>
      </c>
      <c r="G92" s="2" t="s">
        <v>290</v>
      </c>
      <c r="H92" s="2" t="s">
        <v>291</v>
      </c>
      <c r="I92" s="2" t="s">
        <v>290</v>
      </c>
      <c r="J92" s="2" t="s">
        <v>321</v>
      </c>
      <c r="K92" s="2" t="s">
        <v>200</v>
      </c>
      <c r="L92" s="2" t="s">
        <v>39</v>
      </c>
      <c r="M92" s="2" t="s">
        <v>39</v>
      </c>
      <c r="N92" s="2" t="s">
        <v>39</v>
      </c>
      <c r="O92" s="2" t="s">
        <v>38</v>
      </c>
      <c r="P92" s="2" t="s">
        <v>39</v>
      </c>
      <c r="Q92" s="2" t="s">
        <v>38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290</v>
      </c>
      <c r="AC92" s="2" t="s">
        <v>290</v>
      </c>
      <c r="AD92" s="2" t="s">
        <v>290</v>
      </c>
    </row>
    <row r="93" spans="1:30" x14ac:dyDescent="0.3">
      <c r="A93" s="4" t="s">
        <v>405</v>
      </c>
      <c r="B93" s="4" t="s">
        <v>406</v>
      </c>
      <c r="C93" s="5" t="s">
        <v>407</v>
      </c>
      <c r="D93" s="5" t="s">
        <v>408</v>
      </c>
      <c r="E93" s="5">
        <v>834</v>
      </c>
      <c r="F93" s="4" t="s">
        <v>5</v>
      </c>
      <c r="G93" s="4" t="s">
        <v>290</v>
      </c>
      <c r="H93" s="4" t="s">
        <v>296</v>
      </c>
      <c r="I93" s="4" t="s">
        <v>290</v>
      </c>
      <c r="J93" s="4" t="s">
        <v>321</v>
      </c>
      <c r="K93" s="4" t="s">
        <v>200</v>
      </c>
      <c r="L93" s="4" t="s">
        <v>39</v>
      </c>
      <c r="M93" s="4" t="s">
        <v>39</v>
      </c>
      <c r="N93" s="4" t="s">
        <v>39</v>
      </c>
      <c r="O93" s="4" t="s">
        <v>38</v>
      </c>
      <c r="P93" s="4" t="s">
        <v>39</v>
      </c>
      <c r="Q93" s="4" t="s">
        <v>38</v>
      </c>
      <c r="R93" s="4" t="s">
        <v>39</v>
      </c>
      <c r="S93" s="4" t="s">
        <v>39</v>
      </c>
      <c r="T93" s="4" t="s">
        <v>39</v>
      </c>
      <c r="U93" s="4" t="s">
        <v>39</v>
      </c>
      <c r="V93" s="4" t="s">
        <v>39</v>
      </c>
      <c r="W93" s="4" t="s">
        <v>39</v>
      </c>
      <c r="X93" s="4" t="s">
        <v>39</v>
      </c>
      <c r="Y93" s="4" t="s">
        <v>39</v>
      </c>
      <c r="Z93" s="4" t="s">
        <v>39</v>
      </c>
      <c r="AA93" s="4" t="s">
        <v>39</v>
      </c>
      <c r="AB93" s="4" t="s">
        <v>290</v>
      </c>
      <c r="AC93" s="4" t="s">
        <v>290</v>
      </c>
      <c r="AD93" s="4" t="s">
        <v>290</v>
      </c>
    </row>
    <row r="94" spans="1:30" x14ac:dyDescent="0.3">
      <c r="A94" s="2" t="s">
        <v>409</v>
      </c>
      <c r="B94" s="2" t="s">
        <v>410</v>
      </c>
      <c r="C94" s="3" t="s">
        <v>411</v>
      </c>
      <c r="D94" s="3" t="s">
        <v>412</v>
      </c>
      <c r="E94" s="3">
        <v>768</v>
      </c>
      <c r="F94" s="2" t="s">
        <v>5</v>
      </c>
      <c r="G94" s="2" t="s">
        <v>290</v>
      </c>
      <c r="H94" s="2" t="s">
        <v>296</v>
      </c>
      <c r="I94" s="2" t="s">
        <v>290</v>
      </c>
      <c r="J94" s="2" t="s">
        <v>321</v>
      </c>
      <c r="K94" s="2" t="s">
        <v>200</v>
      </c>
      <c r="L94" s="2" t="s">
        <v>39</v>
      </c>
      <c r="M94" s="2" t="s">
        <v>39</v>
      </c>
      <c r="N94" s="2" t="s">
        <v>39</v>
      </c>
      <c r="O94" s="2" t="s">
        <v>38</v>
      </c>
      <c r="P94" s="2" t="s">
        <v>39</v>
      </c>
      <c r="Q94" s="2" t="s">
        <v>38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290</v>
      </c>
      <c r="AC94" s="2" t="s">
        <v>290</v>
      </c>
      <c r="AD94" s="2" t="s">
        <v>290</v>
      </c>
    </row>
    <row r="95" spans="1:30" x14ac:dyDescent="0.3">
      <c r="A95" s="4" t="s">
        <v>413</v>
      </c>
      <c r="B95" s="4" t="s">
        <v>414</v>
      </c>
      <c r="C95" s="5" t="s">
        <v>415</v>
      </c>
      <c r="D95" s="5" t="s">
        <v>416</v>
      </c>
      <c r="E95" s="5">
        <v>788</v>
      </c>
      <c r="F95" s="4" t="s">
        <v>5</v>
      </c>
      <c r="G95" s="4" t="s">
        <v>290</v>
      </c>
      <c r="H95" s="4" t="s">
        <v>291</v>
      </c>
      <c r="I95" s="4" t="s">
        <v>290</v>
      </c>
      <c r="J95" s="4" t="s">
        <v>247</v>
      </c>
      <c r="K95" s="4" t="s">
        <v>200</v>
      </c>
      <c r="L95" s="4" t="s">
        <v>39</v>
      </c>
      <c r="M95" s="4" t="s">
        <v>39</v>
      </c>
      <c r="N95" s="4" t="s">
        <v>39</v>
      </c>
      <c r="O95" s="4" t="s">
        <v>38</v>
      </c>
      <c r="P95" s="4" t="s">
        <v>39</v>
      </c>
      <c r="Q95" s="4" t="s">
        <v>38</v>
      </c>
      <c r="R95" s="4" t="s">
        <v>39</v>
      </c>
      <c r="S95" s="4" t="s">
        <v>39</v>
      </c>
      <c r="T95" s="4" t="s">
        <v>39</v>
      </c>
      <c r="U95" s="4" t="s">
        <v>39</v>
      </c>
      <c r="V95" s="4" t="s">
        <v>39</v>
      </c>
      <c r="W95" s="4" t="s">
        <v>39</v>
      </c>
      <c r="X95" s="4" t="s">
        <v>39</v>
      </c>
      <c r="Y95" s="4" t="s">
        <v>39</v>
      </c>
      <c r="Z95" s="4" t="s">
        <v>39</v>
      </c>
      <c r="AA95" s="4" t="s">
        <v>39</v>
      </c>
      <c r="AB95" s="4" t="s">
        <v>290</v>
      </c>
      <c r="AC95" s="4" t="s">
        <v>290</v>
      </c>
      <c r="AD95" s="4" t="s">
        <v>290</v>
      </c>
    </row>
    <row r="96" spans="1:30" x14ac:dyDescent="0.3">
      <c r="A96" s="2" t="s">
        <v>417</v>
      </c>
      <c r="B96" s="2" t="s">
        <v>418</v>
      </c>
      <c r="C96" s="3" t="s">
        <v>419</v>
      </c>
      <c r="D96" s="3" t="s">
        <v>420</v>
      </c>
      <c r="E96" s="3">
        <v>800</v>
      </c>
      <c r="F96" s="2" t="s">
        <v>5</v>
      </c>
      <c r="G96" s="2" t="s">
        <v>290</v>
      </c>
      <c r="H96" s="2" t="s">
        <v>296</v>
      </c>
      <c r="I96" s="2" t="s">
        <v>290</v>
      </c>
      <c r="J96" s="2" t="s">
        <v>321</v>
      </c>
      <c r="K96" s="2" t="s">
        <v>200</v>
      </c>
      <c r="L96" s="2" t="s">
        <v>39</v>
      </c>
      <c r="M96" s="2" t="s">
        <v>39</v>
      </c>
      <c r="N96" s="2" t="s">
        <v>39</v>
      </c>
      <c r="O96" s="2" t="s">
        <v>38</v>
      </c>
      <c r="P96" s="2" t="s">
        <v>39</v>
      </c>
      <c r="Q96" s="2" t="s">
        <v>38</v>
      </c>
      <c r="R96" s="2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290</v>
      </c>
      <c r="AC96" s="2" t="s">
        <v>290</v>
      </c>
      <c r="AD96" s="2" t="s">
        <v>290</v>
      </c>
    </row>
    <row r="97" spans="1:30" x14ac:dyDescent="0.3">
      <c r="A97" s="4" t="s">
        <v>421</v>
      </c>
      <c r="B97" s="4" t="s">
        <v>422</v>
      </c>
      <c r="C97" s="5" t="s">
        <v>423</v>
      </c>
      <c r="D97" s="5" t="s">
        <v>424</v>
      </c>
      <c r="E97" s="5">
        <v>894</v>
      </c>
      <c r="F97" s="4" t="s">
        <v>5</v>
      </c>
      <c r="G97" s="4" t="s">
        <v>290</v>
      </c>
      <c r="H97" s="4" t="s">
        <v>296</v>
      </c>
      <c r="I97" s="4" t="s">
        <v>290</v>
      </c>
      <c r="J97" s="4" t="s">
        <v>247</v>
      </c>
      <c r="K97" s="4" t="s">
        <v>200</v>
      </c>
      <c r="L97" s="4" t="s">
        <v>39</v>
      </c>
      <c r="M97" s="4" t="s">
        <v>39</v>
      </c>
      <c r="N97" s="4" t="s">
        <v>39</v>
      </c>
      <c r="O97" s="4" t="s">
        <v>38</v>
      </c>
      <c r="P97" s="4" t="s">
        <v>39</v>
      </c>
      <c r="Q97" s="4" t="s">
        <v>38</v>
      </c>
      <c r="R97" s="4" t="s">
        <v>39</v>
      </c>
      <c r="S97" s="4" t="s">
        <v>39</v>
      </c>
      <c r="T97" s="4" t="s">
        <v>39</v>
      </c>
      <c r="U97" s="4" t="s">
        <v>39</v>
      </c>
      <c r="V97" s="4" t="s">
        <v>39</v>
      </c>
      <c r="W97" s="4" t="s">
        <v>39</v>
      </c>
      <c r="X97" s="4" t="s">
        <v>39</v>
      </c>
      <c r="Y97" s="4" t="s">
        <v>39</v>
      </c>
      <c r="Z97" s="4" t="s">
        <v>39</v>
      </c>
      <c r="AA97" s="4" t="s">
        <v>39</v>
      </c>
      <c r="AB97" s="4" t="s">
        <v>290</v>
      </c>
      <c r="AC97" s="4" t="s">
        <v>290</v>
      </c>
      <c r="AD97" s="4" t="s">
        <v>290</v>
      </c>
    </row>
    <row r="98" spans="1:30" x14ac:dyDescent="0.3">
      <c r="A98" s="2" t="s">
        <v>425</v>
      </c>
      <c r="B98" s="2" t="s">
        <v>426</v>
      </c>
      <c r="C98" s="3" t="s">
        <v>427</v>
      </c>
      <c r="D98" s="3" t="s">
        <v>428</v>
      </c>
      <c r="E98" s="3">
        <v>716</v>
      </c>
      <c r="F98" s="2" t="s">
        <v>5</v>
      </c>
      <c r="G98" s="2" t="s">
        <v>290</v>
      </c>
      <c r="H98" s="2" t="s">
        <v>296</v>
      </c>
      <c r="I98" s="2" t="s">
        <v>290</v>
      </c>
      <c r="J98" s="2" t="s">
        <v>247</v>
      </c>
      <c r="K98" s="2" t="s">
        <v>200</v>
      </c>
      <c r="L98" s="2" t="s">
        <v>39</v>
      </c>
      <c r="M98" s="2" t="s">
        <v>39</v>
      </c>
      <c r="N98" s="2" t="s">
        <v>39</v>
      </c>
      <c r="O98" s="2" t="s">
        <v>38</v>
      </c>
      <c r="P98" s="2" t="s">
        <v>39</v>
      </c>
      <c r="Q98" s="2" t="s">
        <v>38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290</v>
      </c>
      <c r="AC98" s="2" t="s">
        <v>290</v>
      </c>
      <c r="AD98" s="2" t="s">
        <v>290</v>
      </c>
    </row>
    <row r="99" spans="1:30" x14ac:dyDescent="0.3">
      <c r="A99" s="4" t="s">
        <v>429</v>
      </c>
      <c r="B99" s="4" t="s">
        <v>430</v>
      </c>
      <c r="C99" s="5" t="s">
        <v>431</v>
      </c>
      <c r="D99" s="5" t="s">
        <v>432</v>
      </c>
      <c r="E99" s="5">
        <v>50</v>
      </c>
      <c r="F99" s="4" t="s">
        <v>5</v>
      </c>
      <c r="G99" s="4" t="s">
        <v>73</v>
      </c>
      <c r="H99" s="4" t="s">
        <v>433</v>
      </c>
      <c r="I99" s="4" t="s">
        <v>434</v>
      </c>
      <c r="J99" s="4" t="s">
        <v>247</v>
      </c>
      <c r="K99" s="4" t="s">
        <v>200</v>
      </c>
      <c r="L99" s="4" t="s">
        <v>39</v>
      </c>
      <c r="M99" s="4" t="s">
        <v>39</v>
      </c>
      <c r="N99" s="4" t="s">
        <v>39</v>
      </c>
      <c r="O99" s="4" t="s">
        <v>38</v>
      </c>
      <c r="P99" s="4" t="s">
        <v>39</v>
      </c>
      <c r="Q99" s="4" t="s">
        <v>38</v>
      </c>
      <c r="R99" s="4" t="s">
        <v>39</v>
      </c>
      <c r="S99" s="4" t="s">
        <v>39</v>
      </c>
      <c r="T99" s="4" t="s">
        <v>39</v>
      </c>
      <c r="U99" s="4" t="s">
        <v>39</v>
      </c>
      <c r="V99" s="4" t="s">
        <v>39</v>
      </c>
      <c r="W99" s="4" t="s">
        <v>39</v>
      </c>
      <c r="X99" s="4" t="s">
        <v>39</v>
      </c>
      <c r="Y99" s="4" t="s">
        <v>39</v>
      </c>
      <c r="Z99" s="4" t="s">
        <v>39</v>
      </c>
      <c r="AA99" s="4" t="s">
        <v>39</v>
      </c>
      <c r="AB99" s="4" t="s">
        <v>434</v>
      </c>
      <c r="AC99" s="4" t="s">
        <v>73</v>
      </c>
      <c r="AD99" s="4" t="s">
        <v>73</v>
      </c>
    </row>
    <row r="100" spans="1:30" x14ac:dyDescent="0.3">
      <c r="A100" s="2" t="s">
        <v>435</v>
      </c>
      <c r="B100" s="2" t="s">
        <v>435</v>
      </c>
      <c r="C100" s="3" t="s">
        <v>436</v>
      </c>
      <c r="D100" s="3" t="s">
        <v>437</v>
      </c>
      <c r="E100" s="3">
        <v>96</v>
      </c>
      <c r="F100" s="2" t="s">
        <v>5</v>
      </c>
      <c r="G100" s="2" t="s">
        <v>73</v>
      </c>
      <c r="H100" s="2" t="s">
        <v>438</v>
      </c>
      <c r="I100" s="2" t="s">
        <v>434</v>
      </c>
      <c r="J100" s="2" t="s">
        <v>45</v>
      </c>
      <c r="K100" s="2" t="s">
        <v>200</v>
      </c>
      <c r="L100" s="2" t="s">
        <v>39</v>
      </c>
      <c r="M100" s="2" t="s">
        <v>39</v>
      </c>
      <c r="N100" s="2" t="s">
        <v>39</v>
      </c>
      <c r="O100" s="2" t="s">
        <v>38</v>
      </c>
      <c r="P100" s="2" t="s">
        <v>39</v>
      </c>
      <c r="Q100" s="2" t="s">
        <v>38</v>
      </c>
      <c r="R100" s="2" t="s">
        <v>39</v>
      </c>
      <c r="S100" s="2" t="s">
        <v>39</v>
      </c>
      <c r="T100" s="2" t="s">
        <v>39</v>
      </c>
      <c r="U100" s="2" t="s">
        <v>39</v>
      </c>
      <c r="V100" s="2" t="s">
        <v>39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434</v>
      </c>
      <c r="AC100" s="2" t="s">
        <v>73</v>
      </c>
      <c r="AD100" s="2" t="s">
        <v>73</v>
      </c>
    </row>
    <row r="101" spans="1:30" x14ac:dyDescent="0.3">
      <c r="A101" s="4" t="s">
        <v>439</v>
      </c>
      <c r="B101" s="4" t="s">
        <v>440</v>
      </c>
      <c r="C101" s="5" t="s">
        <v>441</v>
      </c>
      <c r="D101" s="5" t="s">
        <v>442</v>
      </c>
      <c r="E101" s="5">
        <v>116</v>
      </c>
      <c r="F101" s="4" t="s">
        <v>5</v>
      </c>
      <c r="G101" s="4" t="s">
        <v>73</v>
      </c>
      <c r="H101" s="4" t="s">
        <v>438</v>
      </c>
      <c r="I101" s="4" t="s">
        <v>434</v>
      </c>
      <c r="J101" s="4" t="s">
        <v>247</v>
      </c>
      <c r="K101" s="4" t="s">
        <v>200</v>
      </c>
      <c r="L101" s="4" t="s">
        <v>39</v>
      </c>
      <c r="M101" s="4" t="s">
        <v>39</v>
      </c>
      <c r="N101" s="4" t="s">
        <v>39</v>
      </c>
      <c r="O101" s="4" t="s">
        <v>38</v>
      </c>
      <c r="P101" s="4" t="s">
        <v>39</v>
      </c>
      <c r="Q101" s="4" t="s">
        <v>38</v>
      </c>
      <c r="R101" s="4" t="s">
        <v>39</v>
      </c>
      <c r="S101" s="4" t="s">
        <v>39</v>
      </c>
      <c r="T101" s="4" t="s">
        <v>39</v>
      </c>
      <c r="U101" s="4" t="s">
        <v>39</v>
      </c>
      <c r="V101" s="4" t="s">
        <v>39</v>
      </c>
      <c r="W101" s="4" t="s">
        <v>39</v>
      </c>
      <c r="X101" s="4" t="s">
        <v>39</v>
      </c>
      <c r="Y101" s="4" t="s">
        <v>39</v>
      </c>
      <c r="Z101" s="4" t="s">
        <v>39</v>
      </c>
      <c r="AA101" s="4" t="s">
        <v>39</v>
      </c>
      <c r="AB101" s="4" t="s">
        <v>434</v>
      </c>
      <c r="AC101" s="4" t="s">
        <v>73</v>
      </c>
      <c r="AD101" s="4" t="s">
        <v>73</v>
      </c>
    </row>
    <row r="102" spans="1:30" x14ac:dyDescent="0.3">
      <c r="A102" s="2" t="s">
        <v>443</v>
      </c>
      <c r="B102" s="2" t="s">
        <v>444</v>
      </c>
      <c r="C102" s="3" t="s">
        <v>445</v>
      </c>
      <c r="D102" s="3" t="s">
        <v>446</v>
      </c>
      <c r="E102" s="3">
        <v>408</v>
      </c>
      <c r="F102" s="2" t="s">
        <v>5</v>
      </c>
      <c r="G102" s="2" t="s">
        <v>73</v>
      </c>
      <c r="H102" s="2" t="s">
        <v>78</v>
      </c>
      <c r="I102" s="2" t="s">
        <v>434</v>
      </c>
      <c r="J102" s="2" t="s">
        <v>321</v>
      </c>
      <c r="K102" s="2" t="s">
        <v>200</v>
      </c>
      <c r="L102" s="2" t="s">
        <v>39</v>
      </c>
      <c r="M102" s="2" t="s">
        <v>39</v>
      </c>
      <c r="N102" s="2" t="s">
        <v>39</v>
      </c>
      <c r="O102" s="2" t="s">
        <v>38</v>
      </c>
      <c r="P102" s="2" t="s">
        <v>39</v>
      </c>
      <c r="Q102" s="2" t="s">
        <v>38</v>
      </c>
      <c r="R102" s="2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434</v>
      </c>
      <c r="AC102" s="2" t="s">
        <v>73</v>
      </c>
      <c r="AD102" s="2" t="s">
        <v>73</v>
      </c>
    </row>
    <row r="103" spans="1:30" x14ac:dyDescent="0.3">
      <c r="A103" s="4" t="s">
        <v>447</v>
      </c>
      <c r="B103" s="4" t="s">
        <v>448</v>
      </c>
      <c r="C103" s="5" t="s">
        <v>449</v>
      </c>
      <c r="D103" s="5" t="s">
        <v>450</v>
      </c>
      <c r="E103" s="5">
        <v>356</v>
      </c>
      <c r="F103" s="4" t="s">
        <v>5</v>
      </c>
      <c r="G103" s="4" t="s">
        <v>73</v>
      </c>
      <c r="H103" s="4" t="s">
        <v>433</v>
      </c>
      <c r="I103" s="4" t="s">
        <v>434</v>
      </c>
      <c r="J103" s="4" t="s">
        <v>247</v>
      </c>
      <c r="K103" s="4" t="s">
        <v>200</v>
      </c>
      <c r="L103" s="4" t="s">
        <v>39</v>
      </c>
      <c r="M103" s="4" t="s">
        <v>39</v>
      </c>
      <c r="N103" s="4" t="s">
        <v>39</v>
      </c>
      <c r="O103" s="4" t="s">
        <v>38</v>
      </c>
      <c r="P103" s="4" t="s">
        <v>39</v>
      </c>
      <c r="Q103" s="4" t="s">
        <v>38</v>
      </c>
      <c r="R103" s="4" t="s">
        <v>39</v>
      </c>
      <c r="S103" s="4" t="s">
        <v>39</v>
      </c>
      <c r="T103" s="4" t="s">
        <v>39</v>
      </c>
      <c r="U103" s="4" t="s">
        <v>39</v>
      </c>
      <c r="V103" s="4" t="s">
        <v>38</v>
      </c>
      <c r="W103" s="4" t="s">
        <v>38</v>
      </c>
      <c r="X103" s="4" t="s">
        <v>39</v>
      </c>
      <c r="Y103" s="4" t="s">
        <v>39</v>
      </c>
      <c r="Z103" s="4" t="s">
        <v>39</v>
      </c>
      <c r="AA103" s="4" t="s">
        <v>39</v>
      </c>
      <c r="AB103" s="4" t="s">
        <v>434</v>
      </c>
      <c r="AC103" s="4" t="s">
        <v>73</v>
      </c>
      <c r="AD103" s="4" t="s">
        <v>21</v>
      </c>
    </row>
    <row r="104" spans="1:30" x14ac:dyDescent="0.3">
      <c r="A104" s="2" t="s">
        <v>451</v>
      </c>
      <c r="B104" s="2" t="s">
        <v>452</v>
      </c>
      <c r="C104" s="3" t="s">
        <v>453</v>
      </c>
      <c r="D104" s="3" t="s">
        <v>454</v>
      </c>
      <c r="E104" s="3">
        <v>360</v>
      </c>
      <c r="F104" s="2" t="s">
        <v>5</v>
      </c>
      <c r="G104" s="2" t="s">
        <v>73</v>
      </c>
      <c r="H104" s="2" t="s">
        <v>438</v>
      </c>
      <c r="I104" s="2" t="s">
        <v>434</v>
      </c>
      <c r="J104" s="2" t="s">
        <v>247</v>
      </c>
      <c r="K104" s="2" t="s">
        <v>200</v>
      </c>
      <c r="L104" s="2" t="s">
        <v>39</v>
      </c>
      <c r="M104" s="2" t="s">
        <v>39</v>
      </c>
      <c r="N104" s="2" t="s">
        <v>39</v>
      </c>
      <c r="O104" s="2" t="s">
        <v>38</v>
      </c>
      <c r="P104" s="2" t="s">
        <v>39</v>
      </c>
      <c r="Q104" s="2" t="s">
        <v>38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38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434</v>
      </c>
      <c r="AC104" s="2" t="s">
        <v>73</v>
      </c>
      <c r="AD104" s="2" t="s">
        <v>21</v>
      </c>
    </row>
    <row r="105" spans="1:30" x14ac:dyDescent="0.3">
      <c r="A105" s="4" t="s">
        <v>455</v>
      </c>
      <c r="B105" s="4" t="s">
        <v>455</v>
      </c>
      <c r="C105" s="5" t="s">
        <v>456</v>
      </c>
      <c r="D105" s="5" t="s">
        <v>457</v>
      </c>
      <c r="E105" s="5">
        <v>418</v>
      </c>
      <c r="F105" s="4" t="s">
        <v>5</v>
      </c>
      <c r="G105" s="4" t="s">
        <v>73</v>
      </c>
      <c r="H105" s="4" t="s">
        <v>438</v>
      </c>
      <c r="I105" s="4" t="s">
        <v>434</v>
      </c>
      <c r="J105" s="4" t="s">
        <v>247</v>
      </c>
      <c r="K105" s="4" t="s">
        <v>200</v>
      </c>
      <c r="L105" s="4" t="s">
        <v>39</v>
      </c>
      <c r="M105" s="4" t="s">
        <v>39</v>
      </c>
      <c r="N105" s="4" t="s">
        <v>39</v>
      </c>
      <c r="O105" s="4" t="s">
        <v>38</v>
      </c>
      <c r="P105" s="4" t="s">
        <v>39</v>
      </c>
      <c r="Q105" s="4" t="s">
        <v>38</v>
      </c>
      <c r="R105" s="4" t="s">
        <v>39</v>
      </c>
      <c r="S105" s="4" t="s">
        <v>39</v>
      </c>
      <c r="T105" s="4" t="s">
        <v>39</v>
      </c>
      <c r="U105" s="4" t="s">
        <v>39</v>
      </c>
      <c r="V105" s="4" t="s">
        <v>39</v>
      </c>
      <c r="W105" s="4" t="s">
        <v>39</v>
      </c>
      <c r="X105" s="4" t="s">
        <v>39</v>
      </c>
      <c r="Y105" s="4" t="s">
        <v>39</v>
      </c>
      <c r="Z105" s="4" t="s">
        <v>39</v>
      </c>
      <c r="AA105" s="4" t="s">
        <v>39</v>
      </c>
      <c r="AB105" s="4" t="s">
        <v>434</v>
      </c>
      <c r="AC105" s="4" t="s">
        <v>73</v>
      </c>
      <c r="AD105" s="4" t="s">
        <v>73</v>
      </c>
    </row>
    <row r="106" spans="1:30" x14ac:dyDescent="0.3">
      <c r="A106" s="2" t="s">
        <v>458</v>
      </c>
      <c r="B106" s="2" t="s">
        <v>458</v>
      </c>
      <c r="C106" s="3" t="s">
        <v>459</v>
      </c>
      <c r="D106" s="3" t="s">
        <v>460</v>
      </c>
      <c r="E106" s="3">
        <v>458</v>
      </c>
      <c r="F106" s="2" t="s">
        <v>5</v>
      </c>
      <c r="G106" s="2" t="s">
        <v>73</v>
      </c>
      <c r="H106" s="2" t="s">
        <v>438</v>
      </c>
      <c r="I106" s="2" t="s">
        <v>434</v>
      </c>
      <c r="J106" s="2" t="s">
        <v>45</v>
      </c>
      <c r="K106" s="2" t="s">
        <v>200</v>
      </c>
      <c r="L106" s="2" t="s">
        <v>39</v>
      </c>
      <c r="M106" s="2" t="s">
        <v>39</v>
      </c>
      <c r="N106" s="2" t="s">
        <v>39</v>
      </c>
      <c r="O106" s="2" t="s">
        <v>38</v>
      </c>
      <c r="P106" s="2" t="s">
        <v>39</v>
      </c>
      <c r="Q106" s="2" t="s">
        <v>38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434</v>
      </c>
      <c r="AC106" s="2" t="s">
        <v>73</v>
      </c>
      <c r="AD106" s="2" t="s">
        <v>73</v>
      </c>
    </row>
    <row r="107" spans="1:30" x14ac:dyDescent="0.3">
      <c r="A107" s="4" t="s">
        <v>461</v>
      </c>
      <c r="B107" s="4" t="s">
        <v>461</v>
      </c>
      <c r="C107" s="5" t="s">
        <v>462</v>
      </c>
      <c r="D107" s="5" t="s">
        <v>463</v>
      </c>
      <c r="E107" s="5">
        <v>496</v>
      </c>
      <c r="F107" s="4" t="s">
        <v>5</v>
      </c>
      <c r="G107" s="4" t="s">
        <v>73</v>
      </c>
      <c r="H107" s="4" t="s">
        <v>78</v>
      </c>
      <c r="I107" s="4" t="s">
        <v>434</v>
      </c>
      <c r="J107" s="4" t="s">
        <v>247</v>
      </c>
      <c r="K107" s="4" t="s">
        <v>200</v>
      </c>
      <c r="L107" s="4" t="s">
        <v>39</v>
      </c>
      <c r="M107" s="4" t="s">
        <v>39</v>
      </c>
      <c r="N107" s="4" t="s">
        <v>39</v>
      </c>
      <c r="O107" s="4" t="s">
        <v>38</v>
      </c>
      <c r="P107" s="4" t="s">
        <v>39</v>
      </c>
      <c r="Q107" s="4" t="s">
        <v>38</v>
      </c>
      <c r="R107" s="4" t="s">
        <v>39</v>
      </c>
      <c r="S107" s="4" t="s">
        <v>39</v>
      </c>
      <c r="T107" s="4" t="s">
        <v>39</v>
      </c>
      <c r="U107" s="4" t="s">
        <v>39</v>
      </c>
      <c r="V107" s="4" t="s">
        <v>39</v>
      </c>
      <c r="W107" s="4" t="s">
        <v>39</v>
      </c>
      <c r="X107" s="4" t="s">
        <v>39</v>
      </c>
      <c r="Y107" s="4" t="s">
        <v>39</v>
      </c>
      <c r="Z107" s="4" t="s">
        <v>39</v>
      </c>
      <c r="AA107" s="4" t="s">
        <v>39</v>
      </c>
      <c r="AB107" s="4" t="s">
        <v>434</v>
      </c>
      <c r="AC107" s="4" t="s">
        <v>73</v>
      </c>
      <c r="AD107" s="4" t="s">
        <v>73</v>
      </c>
    </row>
    <row r="108" spans="1:30" x14ac:dyDescent="0.3">
      <c r="A108" s="2" t="s">
        <v>464</v>
      </c>
      <c r="B108" s="2" t="s">
        <v>465</v>
      </c>
      <c r="C108" s="3" t="s">
        <v>466</v>
      </c>
      <c r="D108" s="3" t="s">
        <v>467</v>
      </c>
      <c r="E108" s="3">
        <v>104</v>
      </c>
      <c r="F108" s="2" t="s">
        <v>5</v>
      </c>
      <c r="G108" s="2" t="s">
        <v>73</v>
      </c>
      <c r="H108" s="2" t="s">
        <v>438</v>
      </c>
      <c r="I108" s="2" t="s">
        <v>434</v>
      </c>
      <c r="J108" s="2" t="s">
        <v>247</v>
      </c>
      <c r="K108" s="2" t="s">
        <v>200</v>
      </c>
      <c r="L108" s="2" t="s">
        <v>39</v>
      </c>
      <c r="M108" s="2" t="s">
        <v>39</v>
      </c>
      <c r="N108" s="2" t="s">
        <v>39</v>
      </c>
      <c r="O108" s="2" t="s">
        <v>38</v>
      </c>
      <c r="P108" s="2" t="s">
        <v>39</v>
      </c>
      <c r="Q108" s="2" t="s">
        <v>38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434</v>
      </c>
      <c r="AC108" s="2" t="s">
        <v>73</v>
      </c>
      <c r="AD108" s="2" t="s">
        <v>73</v>
      </c>
    </row>
    <row r="109" spans="1:30" x14ac:dyDescent="0.3">
      <c r="A109" s="4" t="s">
        <v>468</v>
      </c>
      <c r="B109" s="4" t="s">
        <v>469</v>
      </c>
      <c r="C109" s="5" t="s">
        <v>470</v>
      </c>
      <c r="D109" s="5" t="s">
        <v>471</v>
      </c>
      <c r="E109" s="5">
        <v>524</v>
      </c>
      <c r="F109" s="4" t="s">
        <v>5</v>
      </c>
      <c r="G109" s="4" t="s">
        <v>73</v>
      </c>
      <c r="H109" s="4" t="s">
        <v>433</v>
      </c>
      <c r="I109" s="4" t="s">
        <v>434</v>
      </c>
      <c r="J109" s="4" t="s">
        <v>247</v>
      </c>
      <c r="K109" s="4" t="s">
        <v>200</v>
      </c>
      <c r="L109" s="4" t="s">
        <v>39</v>
      </c>
      <c r="M109" s="4" t="s">
        <v>39</v>
      </c>
      <c r="N109" s="4" t="s">
        <v>39</v>
      </c>
      <c r="O109" s="4" t="s">
        <v>38</v>
      </c>
      <c r="P109" s="4" t="s">
        <v>39</v>
      </c>
      <c r="Q109" s="4" t="s">
        <v>38</v>
      </c>
      <c r="R109" s="4" t="s">
        <v>39</v>
      </c>
      <c r="S109" s="4" t="s">
        <v>39</v>
      </c>
      <c r="T109" s="4" t="s">
        <v>39</v>
      </c>
      <c r="U109" s="4" t="s">
        <v>39</v>
      </c>
      <c r="V109" s="4" t="s">
        <v>39</v>
      </c>
      <c r="W109" s="4" t="s">
        <v>39</v>
      </c>
      <c r="X109" s="4" t="s">
        <v>39</v>
      </c>
      <c r="Y109" s="4" t="s">
        <v>39</v>
      </c>
      <c r="Z109" s="4" t="s">
        <v>39</v>
      </c>
      <c r="AA109" s="4" t="s">
        <v>39</v>
      </c>
      <c r="AB109" s="4" t="s">
        <v>434</v>
      </c>
      <c r="AC109" s="4" t="s">
        <v>73</v>
      </c>
      <c r="AD109" s="4" t="s">
        <v>73</v>
      </c>
    </row>
    <row r="110" spans="1:30" x14ac:dyDescent="0.3">
      <c r="A110" s="2" t="s">
        <v>472</v>
      </c>
      <c r="B110" s="2" t="s">
        <v>473</v>
      </c>
      <c r="C110" s="3" t="s">
        <v>474</v>
      </c>
      <c r="D110" s="3" t="s">
        <v>475</v>
      </c>
      <c r="E110" s="3">
        <v>586</v>
      </c>
      <c r="F110" s="2" t="s">
        <v>5</v>
      </c>
      <c r="G110" s="2" t="s">
        <v>73</v>
      </c>
      <c r="H110" s="2" t="s">
        <v>433</v>
      </c>
      <c r="I110" s="2" t="s">
        <v>434</v>
      </c>
      <c r="J110" s="2" t="s">
        <v>247</v>
      </c>
      <c r="K110" s="2" t="s">
        <v>200</v>
      </c>
      <c r="L110" s="2" t="s">
        <v>39</v>
      </c>
      <c r="M110" s="2" t="s">
        <v>39</v>
      </c>
      <c r="N110" s="2" t="s">
        <v>39</v>
      </c>
      <c r="O110" s="2" t="s">
        <v>38</v>
      </c>
      <c r="P110" s="2" t="s">
        <v>39</v>
      </c>
      <c r="Q110" s="2" t="s">
        <v>38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434</v>
      </c>
      <c r="AC110" s="2" t="s">
        <v>73</v>
      </c>
      <c r="AD110" s="2" t="s">
        <v>73</v>
      </c>
    </row>
    <row r="111" spans="1:30" x14ac:dyDescent="0.3">
      <c r="A111" s="4" t="s">
        <v>476</v>
      </c>
      <c r="B111" s="4" t="s">
        <v>477</v>
      </c>
      <c r="C111" s="5" t="s">
        <v>478</v>
      </c>
      <c r="D111" s="5" t="s">
        <v>479</v>
      </c>
      <c r="E111" s="5">
        <v>608</v>
      </c>
      <c r="F111" s="4" t="s">
        <v>5</v>
      </c>
      <c r="G111" s="4" t="s">
        <v>73</v>
      </c>
      <c r="H111" s="4" t="s">
        <v>438</v>
      </c>
      <c r="I111" s="4" t="s">
        <v>434</v>
      </c>
      <c r="J111" s="4" t="s">
        <v>247</v>
      </c>
      <c r="K111" s="4" t="s">
        <v>200</v>
      </c>
      <c r="L111" s="4" t="s">
        <v>39</v>
      </c>
      <c r="M111" s="4" t="s">
        <v>39</v>
      </c>
      <c r="N111" s="4" t="s">
        <v>39</v>
      </c>
      <c r="O111" s="4" t="s">
        <v>38</v>
      </c>
      <c r="P111" s="4" t="s">
        <v>39</v>
      </c>
      <c r="Q111" s="4" t="s">
        <v>38</v>
      </c>
      <c r="R111" s="4" t="s">
        <v>39</v>
      </c>
      <c r="S111" s="4" t="s">
        <v>39</v>
      </c>
      <c r="T111" s="4" t="s">
        <v>39</v>
      </c>
      <c r="U111" s="4" t="s">
        <v>39</v>
      </c>
      <c r="V111" s="4" t="s">
        <v>39</v>
      </c>
      <c r="W111" s="4" t="s">
        <v>39</v>
      </c>
      <c r="X111" s="4" t="s">
        <v>39</v>
      </c>
      <c r="Y111" s="4" t="s">
        <v>39</v>
      </c>
      <c r="Z111" s="4" t="s">
        <v>39</v>
      </c>
      <c r="AA111" s="4" t="s">
        <v>39</v>
      </c>
      <c r="AB111" s="4" t="s">
        <v>434</v>
      </c>
      <c r="AC111" s="4" t="s">
        <v>73</v>
      </c>
      <c r="AD111" s="4" t="s">
        <v>73</v>
      </c>
    </row>
    <row r="112" spans="1:30" x14ac:dyDescent="0.3">
      <c r="A112" s="2" t="s">
        <v>480</v>
      </c>
      <c r="B112" s="2" t="s">
        <v>481</v>
      </c>
      <c r="C112" s="3" t="s">
        <v>482</v>
      </c>
      <c r="D112" s="3" t="s">
        <v>483</v>
      </c>
      <c r="E112" s="3">
        <v>702</v>
      </c>
      <c r="F112" s="2" t="s">
        <v>5</v>
      </c>
      <c r="G112" s="2" t="s">
        <v>73</v>
      </c>
      <c r="H112" s="2" t="s">
        <v>438</v>
      </c>
      <c r="I112" s="2" t="s">
        <v>434</v>
      </c>
      <c r="J112" s="2" t="s">
        <v>36</v>
      </c>
      <c r="K112" s="2" t="s">
        <v>200</v>
      </c>
      <c r="L112" s="2" t="s">
        <v>39</v>
      </c>
      <c r="M112" s="2" t="s">
        <v>39</v>
      </c>
      <c r="N112" s="2" t="s">
        <v>39</v>
      </c>
      <c r="O112" s="2" t="s">
        <v>38</v>
      </c>
      <c r="P112" s="2" t="s">
        <v>39</v>
      </c>
      <c r="Q112" s="2" t="s">
        <v>38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434</v>
      </c>
      <c r="AC112" s="2" t="s">
        <v>73</v>
      </c>
      <c r="AD112" s="2" t="s">
        <v>73</v>
      </c>
    </row>
    <row r="113" spans="1:30" x14ac:dyDescent="0.3">
      <c r="A113" s="4" t="s">
        <v>484</v>
      </c>
      <c r="B113" s="4" t="s">
        <v>485</v>
      </c>
      <c r="C113" s="5" t="s">
        <v>486</v>
      </c>
      <c r="D113" s="5" t="s">
        <v>487</v>
      </c>
      <c r="E113" s="5">
        <v>144</v>
      </c>
      <c r="F113" s="4" t="s">
        <v>5</v>
      </c>
      <c r="G113" s="4" t="s">
        <v>73</v>
      </c>
      <c r="H113" s="4" t="s">
        <v>433</v>
      </c>
      <c r="I113" s="4" t="s">
        <v>434</v>
      </c>
      <c r="J113" s="4" t="s">
        <v>247</v>
      </c>
      <c r="K113" s="4" t="s">
        <v>200</v>
      </c>
      <c r="L113" s="4" t="s">
        <v>39</v>
      </c>
      <c r="M113" s="4" t="s">
        <v>39</v>
      </c>
      <c r="N113" s="4" t="s">
        <v>39</v>
      </c>
      <c r="O113" s="4" t="s">
        <v>38</v>
      </c>
      <c r="P113" s="4" t="s">
        <v>39</v>
      </c>
      <c r="Q113" s="4" t="s">
        <v>38</v>
      </c>
      <c r="R113" s="4" t="s">
        <v>39</v>
      </c>
      <c r="S113" s="4" t="s">
        <v>39</v>
      </c>
      <c r="T113" s="4" t="s">
        <v>39</v>
      </c>
      <c r="U113" s="4" t="s">
        <v>39</v>
      </c>
      <c r="V113" s="4" t="s">
        <v>39</v>
      </c>
      <c r="W113" s="4" t="s">
        <v>39</v>
      </c>
      <c r="X113" s="4" t="s">
        <v>39</v>
      </c>
      <c r="Y113" s="4" t="s">
        <v>39</v>
      </c>
      <c r="Z113" s="4" t="s">
        <v>39</v>
      </c>
      <c r="AA113" s="4" t="s">
        <v>39</v>
      </c>
      <c r="AB113" s="4" t="s">
        <v>434</v>
      </c>
      <c r="AC113" s="4" t="s">
        <v>73</v>
      </c>
      <c r="AD113" s="4" t="s">
        <v>73</v>
      </c>
    </row>
    <row r="114" spans="1:30" x14ac:dyDescent="0.3">
      <c r="A114" s="2" t="s">
        <v>488</v>
      </c>
      <c r="B114" s="2" t="s">
        <v>489</v>
      </c>
      <c r="C114" s="3" t="s">
        <v>490</v>
      </c>
      <c r="D114" s="3" t="s">
        <v>491</v>
      </c>
      <c r="E114" s="3">
        <v>158</v>
      </c>
      <c r="F114" s="2" t="s">
        <v>5</v>
      </c>
      <c r="G114" s="2" t="s">
        <v>73</v>
      </c>
      <c r="H114" s="2" t="s">
        <v>78</v>
      </c>
      <c r="I114" s="2" t="s">
        <v>434</v>
      </c>
      <c r="J114" s="2" t="s">
        <v>36</v>
      </c>
      <c r="K114" s="2" t="s">
        <v>200</v>
      </c>
      <c r="L114" s="2" t="s">
        <v>39</v>
      </c>
      <c r="M114" s="2" t="s">
        <v>39</v>
      </c>
      <c r="N114" s="2" t="s">
        <v>39</v>
      </c>
      <c r="O114" s="2" t="s">
        <v>38</v>
      </c>
      <c r="P114" s="2" t="s">
        <v>39</v>
      </c>
      <c r="Q114" s="2" t="s">
        <v>38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434</v>
      </c>
      <c r="AC114" s="2" t="s">
        <v>73</v>
      </c>
      <c r="AD114" s="2" t="s">
        <v>73</v>
      </c>
    </row>
    <row r="115" spans="1:30" x14ac:dyDescent="0.3">
      <c r="A115" s="4" t="s">
        <v>492</v>
      </c>
      <c r="B115" s="4" t="s">
        <v>493</v>
      </c>
      <c r="C115" s="5" t="s">
        <v>494</v>
      </c>
      <c r="D115" s="5" t="s">
        <v>495</v>
      </c>
      <c r="E115" s="5">
        <v>764</v>
      </c>
      <c r="F115" s="4" t="s">
        <v>5</v>
      </c>
      <c r="G115" s="4" t="s">
        <v>73</v>
      </c>
      <c r="H115" s="4" t="s">
        <v>438</v>
      </c>
      <c r="I115" s="4" t="s">
        <v>434</v>
      </c>
      <c r="J115" s="4" t="s">
        <v>45</v>
      </c>
      <c r="K115" s="4" t="s">
        <v>200</v>
      </c>
      <c r="L115" s="4" t="s">
        <v>39</v>
      </c>
      <c r="M115" s="4" t="s">
        <v>39</v>
      </c>
      <c r="N115" s="4" t="s">
        <v>39</v>
      </c>
      <c r="O115" s="4" t="s">
        <v>38</v>
      </c>
      <c r="P115" s="4" t="s">
        <v>39</v>
      </c>
      <c r="Q115" s="4" t="s">
        <v>38</v>
      </c>
      <c r="R115" s="4" t="s">
        <v>39</v>
      </c>
      <c r="S115" s="4" t="s">
        <v>39</v>
      </c>
      <c r="T115" s="4" t="s">
        <v>39</v>
      </c>
      <c r="U115" s="4" t="s">
        <v>39</v>
      </c>
      <c r="V115" s="4" t="s">
        <v>39</v>
      </c>
      <c r="W115" s="4" t="s">
        <v>39</v>
      </c>
      <c r="X115" s="4" t="s">
        <v>39</v>
      </c>
      <c r="Y115" s="4" t="s">
        <v>39</v>
      </c>
      <c r="Z115" s="4" t="s">
        <v>39</v>
      </c>
      <c r="AA115" s="4" t="s">
        <v>39</v>
      </c>
      <c r="AB115" s="4" t="s">
        <v>434</v>
      </c>
      <c r="AC115" s="4" t="s">
        <v>73</v>
      </c>
      <c r="AD115" s="4" t="s">
        <v>73</v>
      </c>
    </row>
    <row r="116" spans="1:30" x14ac:dyDescent="0.3">
      <c r="A116" s="2" t="s">
        <v>496</v>
      </c>
      <c r="B116" s="2" t="s">
        <v>497</v>
      </c>
      <c r="C116" s="3" t="s">
        <v>498</v>
      </c>
      <c r="D116" s="3" t="s">
        <v>499</v>
      </c>
      <c r="E116" s="3">
        <v>704</v>
      </c>
      <c r="F116" s="2" t="s">
        <v>5</v>
      </c>
      <c r="G116" s="2" t="s">
        <v>73</v>
      </c>
      <c r="H116" s="2" t="s">
        <v>438</v>
      </c>
      <c r="I116" s="2" t="s">
        <v>434</v>
      </c>
      <c r="J116" s="2" t="s">
        <v>247</v>
      </c>
      <c r="K116" s="2" t="s">
        <v>200</v>
      </c>
      <c r="L116" s="2" t="s">
        <v>39</v>
      </c>
      <c r="M116" s="2" t="s">
        <v>39</v>
      </c>
      <c r="N116" s="2" t="s">
        <v>39</v>
      </c>
      <c r="O116" s="2" t="s">
        <v>38</v>
      </c>
      <c r="P116" s="2" t="s">
        <v>39</v>
      </c>
      <c r="Q116" s="2" t="s">
        <v>38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434</v>
      </c>
      <c r="AC116" s="2" t="s">
        <v>73</v>
      </c>
      <c r="AD116" s="2" t="s">
        <v>73</v>
      </c>
    </row>
    <row r="117" spans="1:30" x14ac:dyDescent="0.3">
      <c r="A117" s="4" t="s">
        <v>503</v>
      </c>
      <c r="B117" s="4" t="s">
        <v>500</v>
      </c>
      <c r="C117" s="5" t="s">
        <v>501</v>
      </c>
      <c r="D117" s="5" t="s">
        <v>502</v>
      </c>
      <c r="E117" s="5">
        <v>156</v>
      </c>
      <c r="F117" s="4" t="s">
        <v>5</v>
      </c>
      <c r="G117" s="4" t="s">
        <v>73</v>
      </c>
      <c r="H117" s="4" t="s">
        <v>78</v>
      </c>
      <c r="I117" s="4" t="s">
        <v>503</v>
      </c>
      <c r="J117" s="4" t="s">
        <v>45</v>
      </c>
      <c r="K117" s="4" t="s">
        <v>200</v>
      </c>
      <c r="L117" s="4" t="s">
        <v>39</v>
      </c>
      <c r="M117" s="4" t="s">
        <v>39</v>
      </c>
      <c r="N117" s="4" t="s">
        <v>39</v>
      </c>
      <c r="O117" s="4" t="s">
        <v>38</v>
      </c>
      <c r="P117" s="4" t="s">
        <v>39</v>
      </c>
      <c r="Q117" s="4" t="s">
        <v>38</v>
      </c>
      <c r="R117" s="4" t="s">
        <v>39</v>
      </c>
      <c r="S117" s="4" t="s">
        <v>39</v>
      </c>
      <c r="T117" s="4" t="s">
        <v>39</v>
      </c>
      <c r="U117" s="4" t="s">
        <v>39</v>
      </c>
      <c r="V117" s="4" t="s">
        <v>38</v>
      </c>
      <c r="W117" s="4" t="s">
        <v>38</v>
      </c>
      <c r="X117" s="4" t="s">
        <v>39</v>
      </c>
      <c r="Y117" s="4" t="s">
        <v>39</v>
      </c>
      <c r="Z117" s="4" t="s">
        <v>39</v>
      </c>
      <c r="AA117" s="4" t="s">
        <v>39</v>
      </c>
      <c r="AB117" s="4" t="s">
        <v>503</v>
      </c>
      <c r="AC117" s="4" t="s">
        <v>73</v>
      </c>
      <c r="AD117" s="4" t="s">
        <v>21</v>
      </c>
    </row>
    <row r="118" spans="1:30" x14ac:dyDescent="0.3">
      <c r="A118" s="2" t="s">
        <v>504</v>
      </c>
      <c r="B118" s="2" t="s">
        <v>505</v>
      </c>
      <c r="C118" s="3" t="s">
        <v>506</v>
      </c>
      <c r="D118" s="3" t="s">
        <v>507</v>
      </c>
      <c r="E118" s="3">
        <v>344</v>
      </c>
      <c r="F118" s="2" t="s">
        <v>5</v>
      </c>
      <c r="G118" s="2" t="s">
        <v>73</v>
      </c>
      <c r="H118" s="2" t="s">
        <v>78</v>
      </c>
      <c r="I118" s="2" t="s">
        <v>503</v>
      </c>
      <c r="J118" s="2" t="s">
        <v>36</v>
      </c>
      <c r="K118" s="2" t="s">
        <v>200</v>
      </c>
      <c r="L118" s="2" t="s">
        <v>39</v>
      </c>
      <c r="M118" s="2" t="s">
        <v>39</v>
      </c>
      <c r="N118" s="2" t="s">
        <v>39</v>
      </c>
      <c r="O118" s="2" t="s">
        <v>38</v>
      </c>
      <c r="P118" s="2" t="s">
        <v>39</v>
      </c>
      <c r="Q118" s="2" t="s">
        <v>38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503</v>
      </c>
      <c r="AC118" s="2" t="s">
        <v>73</v>
      </c>
      <c r="AD118" s="2" t="s">
        <v>73</v>
      </c>
    </row>
    <row r="119" spans="1:30" x14ac:dyDescent="0.3">
      <c r="A119" s="4" t="s">
        <v>508</v>
      </c>
      <c r="B119" s="4" t="s">
        <v>509</v>
      </c>
      <c r="C119" s="5" t="s">
        <v>510</v>
      </c>
      <c r="D119" s="5" t="s">
        <v>511</v>
      </c>
      <c r="E119" s="5">
        <v>32</v>
      </c>
      <c r="F119" s="4" t="s">
        <v>5</v>
      </c>
      <c r="G119" s="4" t="s">
        <v>33</v>
      </c>
      <c r="H119" s="4" t="s">
        <v>44</v>
      </c>
      <c r="I119" s="4" t="s">
        <v>512</v>
      </c>
      <c r="J119" s="4" t="s">
        <v>45</v>
      </c>
      <c r="K119" s="4" t="s">
        <v>200</v>
      </c>
      <c r="L119" s="4" t="s">
        <v>39</v>
      </c>
      <c r="M119" s="4" t="s">
        <v>39</v>
      </c>
      <c r="N119" s="4" t="s">
        <v>39</v>
      </c>
      <c r="O119" s="4" t="s">
        <v>38</v>
      </c>
      <c r="P119" s="4" t="s">
        <v>39</v>
      </c>
      <c r="Q119" s="4" t="s">
        <v>38</v>
      </c>
      <c r="R119" s="4" t="s">
        <v>39</v>
      </c>
      <c r="S119" s="4" t="s">
        <v>39</v>
      </c>
      <c r="T119" s="4" t="s">
        <v>39</v>
      </c>
      <c r="U119" s="4" t="s">
        <v>39</v>
      </c>
      <c r="V119" s="4" t="s">
        <v>38</v>
      </c>
      <c r="W119" s="4" t="s">
        <v>39</v>
      </c>
      <c r="X119" s="4" t="s">
        <v>39</v>
      </c>
      <c r="Y119" s="4" t="s">
        <v>39</v>
      </c>
      <c r="Z119" s="4" t="s">
        <v>39</v>
      </c>
      <c r="AA119" s="4" t="s">
        <v>39</v>
      </c>
      <c r="AB119" s="4" t="s">
        <v>512</v>
      </c>
      <c r="AC119" s="4" t="s">
        <v>33</v>
      </c>
      <c r="AD119" s="4" t="s">
        <v>21</v>
      </c>
    </row>
    <row r="120" spans="1:30" x14ac:dyDescent="0.3">
      <c r="A120" s="2" t="s">
        <v>513</v>
      </c>
      <c r="B120" s="2" t="s">
        <v>514</v>
      </c>
      <c r="C120" s="3" t="s">
        <v>515</v>
      </c>
      <c r="D120" s="3" t="s">
        <v>516</v>
      </c>
      <c r="E120" s="3">
        <v>68</v>
      </c>
      <c r="F120" s="2" t="s">
        <v>5</v>
      </c>
      <c r="G120" s="2" t="s">
        <v>33</v>
      </c>
      <c r="H120" s="2" t="s">
        <v>44</v>
      </c>
      <c r="I120" s="2" t="s">
        <v>512</v>
      </c>
      <c r="J120" s="2" t="s">
        <v>45</v>
      </c>
      <c r="K120" s="2" t="s">
        <v>200</v>
      </c>
      <c r="L120" s="2" t="s">
        <v>39</v>
      </c>
      <c r="M120" s="2" t="s">
        <v>39</v>
      </c>
      <c r="N120" s="2" t="s">
        <v>39</v>
      </c>
      <c r="O120" s="2" t="s">
        <v>38</v>
      </c>
      <c r="P120" s="2" t="s">
        <v>39</v>
      </c>
      <c r="Q120" s="2" t="s">
        <v>38</v>
      </c>
      <c r="R120" s="2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512</v>
      </c>
      <c r="AC120" s="2" t="s">
        <v>33</v>
      </c>
      <c r="AD120" s="2" t="s">
        <v>33</v>
      </c>
    </row>
    <row r="121" spans="1:30" x14ac:dyDescent="0.3">
      <c r="A121" s="4" t="s">
        <v>517</v>
      </c>
      <c r="B121" s="4" t="s">
        <v>518</v>
      </c>
      <c r="C121" s="5" t="s">
        <v>519</v>
      </c>
      <c r="D121" s="5" t="s">
        <v>520</v>
      </c>
      <c r="E121" s="5">
        <v>76</v>
      </c>
      <c r="F121" s="4" t="s">
        <v>5</v>
      </c>
      <c r="G121" s="4" t="s">
        <v>33</v>
      </c>
      <c r="H121" s="4" t="s">
        <v>44</v>
      </c>
      <c r="I121" s="4" t="s">
        <v>512</v>
      </c>
      <c r="J121" s="4" t="s">
        <v>45</v>
      </c>
      <c r="K121" s="4" t="s">
        <v>200</v>
      </c>
      <c r="L121" s="4" t="s">
        <v>39</v>
      </c>
      <c r="M121" s="4" t="s">
        <v>39</v>
      </c>
      <c r="N121" s="4" t="s">
        <v>39</v>
      </c>
      <c r="O121" s="4" t="s">
        <v>38</v>
      </c>
      <c r="P121" s="4" t="s">
        <v>39</v>
      </c>
      <c r="Q121" s="4" t="s">
        <v>38</v>
      </c>
      <c r="R121" s="4" t="s">
        <v>39</v>
      </c>
      <c r="S121" s="4" t="s">
        <v>39</v>
      </c>
      <c r="T121" s="4" t="s">
        <v>39</v>
      </c>
      <c r="U121" s="4" t="s">
        <v>39</v>
      </c>
      <c r="V121" s="4" t="s">
        <v>38</v>
      </c>
      <c r="W121" s="4" t="s">
        <v>38</v>
      </c>
      <c r="X121" s="4" t="s">
        <v>39</v>
      </c>
      <c r="Y121" s="4" t="s">
        <v>39</v>
      </c>
      <c r="Z121" s="4" t="s">
        <v>39</v>
      </c>
      <c r="AA121" s="4" t="s">
        <v>39</v>
      </c>
      <c r="AB121" s="4" t="s">
        <v>512</v>
      </c>
      <c r="AC121" s="4" t="s">
        <v>33</v>
      </c>
      <c r="AD121" s="4" t="s">
        <v>21</v>
      </c>
    </row>
    <row r="122" spans="1:30" x14ac:dyDescent="0.3">
      <c r="A122" s="2" t="s">
        <v>521</v>
      </c>
      <c r="B122" s="2" t="s">
        <v>522</v>
      </c>
      <c r="C122" s="3" t="s">
        <v>523</v>
      </c>
      <c r="D122" s="3" t="s">
        <v>524</v>
      </c>
      <c r="E122" s="3">
        <v>192</v>
      </c>
      <c r="F122" s="2" t="s">
        <v>5</v>
      </c>
      <c r="G122" s="2" t="s">
        <v>33</v>
      </c>
      <c r="H122" s="2" t="s">
        <v>44</v>
      </c>
      <c r="I122" s="2" t="s">
        <v>512</v>
      </c>
      <c r="J122" s="2" t="s">
        <v>45</v>
      </c>
      <c r="K122" s="2" t="s">
        <v>200</v>
      </c>
      <c r="L122" s="2" t="s">
        <v>39</v>
      </c>
      <c r="M122" s="2" t="s">
        <v>39</v>
      </c>
      <c r="N122" s="2" t="s">
        <v>39</v>
      </c>
      <c r="O122" s="2" t="s">
        <v>38</v>
      </c>
      <c r="P122" s="2" t="s">
        <v>39</v>
      </c>
      <c r="Q122" s="2" t="s">
        <v>38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512</v>
      </c>
      <c r="AC122" s="2" t="s">
        <v>33</v>
      </c>
      <c r="AD122" s="2" t="s">
        <v>33</v>
      </c>
    </row>
    <row r="123" spans="1:30" x14ac:dyDescent="0.3">
      <c r="A123" s="4" t="s">
        <v>525</v>
      </c>
      <c r="B123" s="4" t="s">
        <v>525</v>
      </c>
      <c r="C123" s="5" t="s">
        <v>526</v>
      </c>
      <c r="D123" s="5" t="s">
        <v>527</v>
      </c>
      <c r="E123" s="5">
        <v>531</v>
      </c>
      <c r="F123" s="4" t="s">
        <v>5</v>
      </c>
      <c r="G123" s="4" t="s">
        <v>33</v>
      </c>
      <c r="H123" s="4" t="s">
        <v>44</v>
      </c>
      <c r="I123" s="4" t="s">
        <v>512</v>
      </c>
      <c r="J123" s="4" t="s">
        <v>36</v>
      </c>
      <c r="K123" s="4" t="s">
        <v>200</v>
      </c>
      <c r="L123" s="4" t="s">
        <v>39</v>
      </c>
      <c r="M123" s="4" t="s">
        <v>39</v>
      </c>
      <c r="N123" s="4" t="s">
        <v>39</v>
      </c>
      <c r="O123" s="4" t="s">
        <v>38</v>
      </c>
      <c r="P123" s="4" t="s">
        <v>39</v>
      </c>
      <c r="Q123" s="4" t="s">
        <v>38</v>
      </c>
      <c r="R123" s="4" t="s">
        <v>39</v>
      </c>
      <c r="S123" s="4" t="s">
        <v>39</v>
      </c>
      <c r="T123" s="4" t="s">
        <v>39</v>
      </c>
      <c r="U123" s="4" t="s">
        <v>39</v>
      </c>
      <c r="V123" s="4" t="s">
        <v>39</v>
      </c>
      <c r="W123" s="4" t="s">
        <v>39</v>
      </c>
      <c r="X123" s="4" t="s">
        <v>39</v>
      </c>
      <c r="Y123" s="4" t="s">
        <v>39</v>
      </c>
      <c r="Z123" s="4" t="s">
        <v>39</v>
      </c>
      <c r="AA123" s="4" t="s">
        <v>39</v>
      </c>
      <c r="AB123" s="4" t="s">
        <v>512</v>
      </c>
      <c r="AC123" s="4" t="s">
        <v>33</v>
      </c>
      <c r="AD123" s="4" t="s">
        <v>33</v>
      </c>
    </row>
    <row r="124" spans="1:30" x14ac:dyDescent="0.3">
      <c r="A124" s="2" t="s">
        <v>528</v>
      </c>
      <c r="B124" s="2" t="s">
        <v>528</v>
      </c>
      <c r="C124" s="3" t="s">
        <v>529</v>
      </c>
      <c r="D124" s="3" t="s">
        <v>530</v>
      </c>
      <c r="E124" s="3">
        <v>214</v>
      </c>
      <c r="F124" s="2" t="s">
        <v>5</v>
      </c>
      <c r="G124" s="2" t="s">
        <v>33</v>
      </c>
      <c r="H124" s="2" t="s">
        <v>44</v>
      </c>
      <c r="I124" s="2" t="s">
        <v>512</v>
      </c>
      <c r="J124" s="2" t="s">
        <v>45</v>
      </c>
      <c r="K124" s="2" t="s">
        <v>200</v>
      </c>
      <c r="L124" s="2" t="s">
        <v>39</v>
      </c>
      <c r="M124" s="2" t="s">
        <v>39</v>
      </c>
      <c r="N124" s="2" t="s">
        <v>39</v>
      </c>
      <c r="O124" s="2" t="s">
        <v>38</v>
      </c>
      <c r="P124" s="2" t="s">
        <v>39</v>
      </c>
      <c r="Q124" s="2" t="s">
        <v>38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512</v>
      </c>
      <c r="AC124" s="2" t="s">
        <v>33</v>
      </c>
      <c r="AD124" s="2" t="s">
        <v>33</v>
      </c>
    </row>
    <row r="125" spans="1:30" x14ac:dyDescent="0.3">
      <c r="A125" s="4" t="s">
        <v>531</v>
      </c>
      <c r="B125" s="4" t="s">
        <v>532</v>
      </c>
      <c r="C125" s="5" t="s">
        <v>533</v>
      </c>
      <c r="D125" s="5" t="s">
        <v>534</v>
      </c>
      <c r="E125" s="5">
        <v>218</v>
      </c>
      <c r="F125" s="4" t="s">
        <v>5</v>
      </c>
      <c r="G125" s="4" t="s">
        <v>33</v>
      </c>
      <c r="H125" s="4" t="s">
        <v>44</v>
      </c>
      <c r="I125" s="4" t="s">
        <v>512</v>
      </c>
      <c r="J125" s="4" t="s">
        <v>45</v>
      </c>
      <c r="K125" s="4" t="s">
        <v>200</v>
      </c>
      <c r="L125" s="4" t="s">
        <v>39</v>
      </c>
      <c r="M125" s="4" t="s">
        <v>39</v>
      </c>
      <c r="N125" s="4" t="s">
        <v>39</v>
      </c>
      <c r="O125" s="4" t="s">
        <v>38</v>
      </c>
      <c r="P125" s="4" t="s">
        <v>39</v>
      </c>
      <c r="Q125" s="4" t="s">
        <v>38</v>
      </c>
      <c r="R125" s="4" t="s">
        <v>39</v>
      </c>
      <c r="S125" s="4" t="s">
        <v>39</v>
      </c>
      <c r="T125" s="4" t="s">
        <v>39</v>
      </c>
      <c r="U125" s="4" t="s">
        <v>39</v>
      </c>
      <c r="V125" s="4" t="s">
        <v>39</v>
      </c>
      <c r="W125" s="4" t="s">
        <v>39</v>
      </c>
      <c r="X125" s="4" t="s">
        <v>39</v>
      </c>
      <c r="Y125" s="4" t="s">
        <v>39</v>
      </c>
      <c r="Z125" s="4" t="s">
        <v>39</v>
      </c>
      <c r="AA125" s="4" t="s">
        <v>39</v>
      </c>
      <c r="AB125" s="4" t="s">
        <v>512</v>
      </c>
      <c r="AC125" s="4" t="s">
        <v>33</v>
      </c>
      <c r="AD125" s="4" t="s">
        <v>33</v>
      </c>
    </row>
    <row r="126" spans="1:30" x14ac:dyDescent="0.3">
      <c r="A126" s="2" t="s">
        <v>535</v>
      </c>
      <c r="B126" s="2" t="s">
        <v>536</v>
      </c>
      <c r="C126" s="3" t="s">
        <v>537</v>
      </c>
      <c r="D126" s="3" t="s">
        <v>538</v>
      </c>
      <c r="E126" s="3">
        <v>222</v>
      </c>
      <c r="F126" s="2" t="s">
        <v>5</v>
      </c>
      <c r="G126" s="2" t="s">
        <v>33</v>
      </c>
      <c r="H126" s="2" t="s">
        <v>44</v>
      </c>
      <c r="I126" s="2" t="s">
        <v>512</v>
      </c>
      <c r="J126" s="2" t="s">
        <v>45</v>
      </c>
      <c r="K126" s="2" t="s">
        <v>200</v>
      </c>
      <c r="L126" s="2" t="s">
        <v>39</v>
      </c>
      <c r="M126" s="2" t="s">
        <v>39</v>
      </c>
      <c r="N126" s="2" t="s">
        <v>39</v>
      </c>
      <c r="O126" s="2" t="s">
        <v>38</v>
      </c>
      <c r="P126" s="2" t="s">
        <v>39</v>
      </c>
      <c r="Q126" s="2" t="s">
        <v>38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512</v>
      </c>
      <c r="AC126" s="2" t="s">
        <v>33</v>
      </c>
      <c r="AD126" s="2" t="s">
        <v>33</v>
      </c>
    </row>
    <row r="127" spans="1:30" x14ac:dyDescent="0.3">
      <c r="A127" s="4" t="s">
        <v>539</v>
      </c>
      <c r="B127" s="4" t="s">
        <v>540</v>
      </c>
      <c r="C127" s="5" t="s">
        <v>541</v>
      </c>
      <c r="D127" s="5" t="s">
        <v>542</v>
      </c>
      <c r="E127" s="5">
        <v>320</v>
      </c>
      <c r="F127" s="4" t="s">
        <v>5</v>
      </c>
      <c r="G127" s="4" t="s">
        <v>33</v>
      </c>
      <c r="H127" s="4" t="s">
        <v>44</v>
      </c>
      <c r="I127" s="4" t="s">
        <v>512</v>
      </c>
      <c r="J127" s="4" t="s">
        <v>45</v>
      </c>
      <c r="K127" s="4" t="s">
        <v>200</v>
      </c>
      <c r="L127" s="4" t="s">
        <v>39</v>
      </c>
      <c r="M127" s="4" t="s">
        <v>39</v>
      </c>
      <c r="N127" s="4" t="s">
        <v>39</v>
      </c>
      <c r="O127" s="4" t="s">
        <v>38</v>
      </c>
      <c r="P127" s="4" t="s">
        <v>39</v>
      </c>
      <c r="Q127" s="4" t="s">
        <v>38</v>
      </c>
      <c r="R127" s="4" t="s">
        <v>39</v>
      </c>
      <c r="S127" s="4" t="s">
        <v>39</v>
      </c>
      <c r="T127" s="4" t="s">
        <v>39</v>
      </c>
      <c r="U127" s="4" t="s">
        <v>39</v>
      </c>
      <c r="V127" s="4" t="s">
        <v>39</v>
      </c>
      <c r="W127" s="4" t="s">
        <v>39</v>
      </c>
      <c r="X127" s="4" t="s">
        <v>39</v>
      </c>
      <c r="Y127" s="4" t="s">
        <v>39</v>
      </c>
      <c r="Z127" s="4" t="s">
        <v>39</v>
      </c>
      <c r="AA127" s="4" t="s">
        <v>39</v>
      </c>
      <c r="AB127" s="4" t="s">
        <v>512</v>
      </c>
      <c r="AC127" s="4" t="s">
        <v>33</v>
      </c>
      <c r="AD127" s="4" t="s">
        <v>33</v>
      </c>
    </row>
    <row r="128" spans="1:30" x14ac:dyDescent="0.3">
      <c r="A128" s="2" t="s">
        <v>543</v>
      </c>
      <c r="B128" s="2" t="s">
        <v>544</v>
      </c>
      <c r="C128" s="3" t="s">
        <v>545</v>
      </c>
      <c r="D128" s="3" t="s">
        <v>546</v>
      </c>
      <c r="E128" s="3">
        <v>328</v>
      </c>
      <c r="F128" s="2" t="s">
        <v>5</v>
      </c>
      <c r="G128" s="2" t="s">
        <v>33</v>
      </c>
      <c r="H128" s="2" t="s">
        <v>44</v>
      </c>
      <c r="I128" s="2" t="s">
        <v>512</v>
      </c>
      <c r="J128" s="2" t="s">
        <v>45</v>
      </c>
      <c r="K128" s="2" t="s">
        <v>200</v>
      </c>
      <c r="L128" s="2" t="s">
        <v>39</v>
      </c>
      <c r="M128" s="2" t="s">
        <v>39</v>
      </c>
      <c r="N128" s="2" t="s">
        <v>39</v>
      </c>
      <c r="O128" s="2" t="s">
        <v>38</v>
      </c>
      <c r="P128" s="2" t="s">
        <v>39</v>
      </c>
      <c r="Q128" s="2" t="s">
        <v>38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512</v>
      </c>
      <c r="AC128" s="2" t="s">
        <v>33</v>
      </c>
      <c r="AD128" s="2" t="s">
        <v>33</v>
      </c>
    </row>
    <row r="129" spans="1:30" x14ac:dyDescent="0.3">
      <c r="A129" s="4" t="s">
        <v>547</v>
      </c>
      <c r="B129" s="4" t="s">
        <v>548</v>
      </c>
      <c r="C129" s="5" t="s">
        <v>549</v>
      </c>
      <c r="D129" s="5" t="s">
        <v>550</v>
      </c>
      <c r="E129" s="5">
        <v>332</v>
      </c>
      <c r="F129" s="4" t="s">
        <v>5</v>
      </c>
      <c r="G129" s="4" t="s">
        <v>33</v>
      </c>
      <c r="H129" s="4" t="s">
        <v>44</v>
      </c>
      <c r="I129" s="4" t="s">
        <v>512</v>
      </c>
      <c r="J129" s="4" t="s">
        <v>247</v>
      </c>
      <c r="K129" s="4" t="s">
        <v>200</v>
      </c>
      <c r="L129" s="4" t="s">
        <v>39</v>
      </c>
      <c r="M129" s="4" t="s">
        <v>39</v>
      </c>
      <c r="N129" s="4" t="s">
        <v>39</v>
      </c>
      <c r="O129" s="4" t="s">
        <v>38</v>
      </c>
      <c r="P129" s="4" t="s">
        <v>39</v>
      </c>
      <c r="Q129" s="4" t="s">
        <v>38</v>
      </c>
      <c r="R129" s="4" t="s">
        <v>39</v>
      </c>
      <c r="S129" s="4" t="s">
        <v>39</v>
      </c>
      <c r="T129" s="4" t="s">
        <v>39</v>
      </c>
      <c r="U129" s="4" t="s">
        <v>39</v>
      </c>
      <c r="V129" s="4" t="s">
        <v>39</v>
      </c>
      <c r="W129" s="4" t="s">
        <v>39</v>
      </c>
      <c r="X129" s="4" t="s">
        <v>39</v>
      </c>
      <c r="Y129" s="4" t="s">
        <v>39</v>
      </c>
      <c r="Z129" s="4" t="s">
        <v>39</v>
      </c>
      <c r="AA129" s="4" t="s">
        <v>39</v>
      </c>
      <c r="AB129" s="4" t="s">
        <v>512</v>
      </c>
      <c r="AC129" s="4" t="s">
        <v>33</v>
      </c>
      <c r="AD129" s="4" t="s">
        <v>33</v>
      </c>
    </row>
    <row r="130" spans="1:30" x14ac:dyDescent="0.3">
      <c r="A130" s="2" t="s">
        <v>551</v>
      </c>
      <c r="B130" s="2" t="s">
        <v>552</v>
      </c>
      <c r="C130" s="3" t="s">
        <v>553</v>
      </c>
      <c r="D130" s="3" t="s">
        <v>554</v>
      </c>
      <c r="E130" s="3">
        <v>340</v>
      </c>
      <c r="F130" s="2" t="s">
        <v>5</v>
      </c>
      <c r="G130" s="2" t="s">
        <v>33</v>
      </c>
      <c r="H130" s="2" t="s">
        <v>44</v>
      </c>
      <c r="I130" s="2" t="s">
        <v>512</v>
      </c>
      <c r="J130" s="2" t="s">
        <v>247</v>
      </c>
      <c r="K130" s="2" t="s">
        <v>200</v>
      </c>
      <c r="L130" s="2" t="s">
        <v>39</v>
      </c>
      <c r="M130" s="2" t="s">
        <v>39</v>
      </c>
      <c r="N130" s="2" t="s">
        <v>39</v>
      </c>
      <c r="O130" s="2" t="s">
        <v>38</v>
      </c>
      <c r="P130" s="2" t="s">
        <v>39</v>
      </c>
      <c r="Q130" s="2" t="s">
        <v>38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512</v>
      </c>
      <c r="AC130" s="2" t="s">
        <v>33</v>
      </c>
      <c r="AD130" s="2" t="s">
        <v>33</v>
      </c>
    </row>
    <row r="131" spans="1:30" x14ac:dyDescent="0.3">
      <c r="A131" s="4" t="s">
        <v>555</v>
      </c>
      <c r="B131" s="4" t="s">
        <v>555</v>
      </c>
      <c r="C131" s="5" t="s">
        <v>556</v>
      </c>
      <c r="D131" s="5" t="s">
        <v>557</v>
      </c>
      <c r="E131" s="5">
        <v>388</v>
      </c>
      <c r="F131" s="4" t="s">
        <v>5</v>
      </c>
      <c r="G131" s="4" t="s">
        <v>33</v>
      </c>
      <c r="H131" s="4" t="s">
        <v>44</v>
      </c>
      <c r="I131" s="4" t="s">
        <v>512</v>
      </c>
      <c r="J131" s="4" t="s">
        <v>45</v>
      </c>
      <c r="K131" s="4" t="s">
        <v>200</v>
      </c>
      <c r="L131" s="4" t="s">
        <v>39</v>
      </c>
      <c r="M131" s="4" t="s">
        <v>39</v>
      </c>
      <c r="N131" s="4" t="s">
        <v>39</v>
      </c>
      <c r="O131" s="4" t="s">
        <v>38</v>
      </c>
      <c r="P131" s="4" t="s">
        <v>39</v>
      </c>
      <c r="Q131" s="4" t="s">
        <v>38</v>
      </c>
      <c r="R131" s="4" t="s">
        <v>39</v>
      </c>
      <c r="S131" s="4" t="s">
        <v>39</v>
      </c>
      <c r="T131" s="4" t="s">
        <v>39</v>
      </c>
      <c r="U131" s="4" t="s">
        <v>39</v>
      </c>
      <c r="V131" s="4" t="s">
        <v>39</v>
      </c>
      <c r="W131" s="4" t="s">
        <v>39</v>
      </c>
      <c r="X131" s="4" t="s">
        <v>39</v>
      </c>
      <c r="Y131" s="4" t="s">
        <v>39</v>
      </c>
      <c r="Z131" s="4" t="s">
        <v>39</v>
      </c>
      <c r="AA131" s="4" t="s">
        <v>39</v>
      </c>
      <c r="AB131" s="4" t="s">
        <v>512</v>
      </c>
      <c r="AC131" s="4" t="s">
        <v>33</v>
      </c>
      <c r="AD131" s="4" t="s">
        <v>33</v>
      </c>
    </row>
    <row r="132" spans="1:30" x14ac:dyDescent="0.3">
      <c r="A132" s="2" t="s">
        <v>558</v>
      </c>
      <c r="B132" s="2" t="s">
        <v>559</v>
      </c>
      <c r="C132" s="3" t="s">
        <v>560</v>
      </c>
      <c r="D132" s="3" t="s">
        <v>561</v>
      </c>
      <c r="E132" s="3">
        <v>558</v>
      </c>
      <c r="F132" s="2" t="s">
        <v>5</v>
      </c>
      <c r="G132" s="2" t="s">
        <v>33</v>
      </c>
      <c r="H132" s="2" t="s">
        <v>44</v>
      </c>
      <c r="I132" s="2" t="s">
        <v>512</v>
      </c>
      <c r="J132" s="2" t="s">
        <v>247</v>
      </c>
      <c r="K132" s="2" t="s">
        <v>200</v>
      </c>
      <c r="L132" s="2" t="s">
        <v>39</v>
      </c>
      <c r="M132" s="2" t="s">
        <v>39</v>
      </c>
      <c r="N132" s="2" t="s">
        <v>39</v>
      </c>
      <c r="O132" s="2" t="s">
        <v>38</v>
      </c>
      <c r="P132" s="2" t="s">
        <v>39</v>
      </c>
      <c r="Q132" s="2" t="s">
        <v>38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512</v>
      </c>
      <c r="AC132" s="2" t="s">
        <v>33</v>
      </c>
      <c r="AD132" s="2" t="s">
        <v>33</v>
      </c>
    </row>
    <row r="133" spans="1:30" x14ac:dyDescent="0.3">
      <c r="A133" s="4" t="s">
        <v>562</v>
      </c>
      <c r="B133" s="4" t="s">
        <v>563</v>
      </c>
      <c r="C133" s="5" t="s">
        <v>564</v>
      </c>
      <c r="D133" s="5" t="s">
        <v>565</v>
      </c>
      <c r="E133" s="5">
        <v>591</v>
      </c>
      <c r="F133" s="4" t="s">
        <v>5</v>
      </c>
      <c r="G133" s="4" t="s">
        <v>33</v>
      </c>
      <c r="H133" s="4" t="s">
        <v>44</v>
      </c>
      <c r="I133" s="4" t="s">
        <v>512</v>
      </c>
      <c r="J133" s="4" t="s">
        <v>45</v>
      </c>
      <c r="K133" s="4" t="s">
        <v>200</v>
      </c>
      <c r="L133" s="4" t="s">
        <v>39</v>
      </c>
      <c r="M133" s="4" t="s">
        <v>39</v>
      </c>
      <c r="N133" s="4" t="s">
        <v>39</v>
      </c>
      <c r="O133" s="4" t="s">
        <v>38</v>
      </c>
      <c r="P133" s="4" t="s">
        <v>39</v>
      </c>
      <c r="Q133" s="4" t="s">
        <v>38</v>
      </c>
      <c r="R133" s="4" t="s">
        <v>39</v>
      </c>
      <c r="S133" s="4" t="s">
        <v>39</v>
      </c>
      <c r="T133" s="4" t="s">
        <v>39</v>
      </c>
      <c r="U133" s="4" t="s">
        <v>39</v>
      </c>
      <c r="V133" s="4" t="s">
        <v>39</v>
      </c>
      <c r="W133" s="4" t="s">
        <v>39</v>
      </c>
      <c r="X133" s="4" t="s">
        <v>39</v>
      </c>
      <c r="Y133" s="4" t="s">
        <v>39</v>
      </c>
      <c r="Z133" s="4" t="s">
        <v>39</v>
      </c>
      <c r="AA133" s="4" t="s">
        <v>39</v>
      </c>
      <c r="AB133" s="4" t="s">
        <v>512</v>
      </c>
      <c r="AC133" s="4" t="s">
        <v>33</v>
      </c>
      <c r="AD133" s="4" t="s">
        <v>33</v>
      </c>
    </row>
    <row r="134" spans="1:30" x14ac:dyDescent="0.3">
      <c r="A134" s="2" t="s">
        <v>566</v>
      </c>
      <c r="B134" s="2" t="s">
        <v>567</v>
      </c>
      <c r="C134" s="3" t="s">
        <v>568</v>
      </c>
      <c r="D134" s="3" t="s">
        <v>569</v>
      </c>
      <c r="E134" s="3">
        <v>600</v>
      </c>
      <c r="F134" s="2" t="s">
        <v>5</v>
      </c>
      <c r="G134" s="2" t="s">
        <v>33</v>
      </c>
      <c r="H134" s="2" t="s">
        <v>44</v>
      </c>
      <c r="I134" s="2" t="s">
        <v>512</v>
      </c>
      <c r="J134" s="2" t="s">
        <v>45</v>
      </c>
      <c r="K134" s="2" t="s">
        <v>200</v>
      </c>
      <c r="L134" s="2" t="s">
        <v>39</v>
      </c>
      <c r="M134" s="2" t="s">
        <v>39</v>
      </c>
      <c r="N134" s="2" t="s">
        <v>39</v>
      </c>
      <c r="O134" s="2" t="s">
        <v>38</v>
      </c>
      <c r="P134" s="2" t="s">
        <v>39</v>
      </c>
      <c r="Q134" s="2" t="s">
        <v>38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512</v>
      </c>
      <c r="AC134" s="2" t="s">
        <v>33</v>
      </c>
      <c r="AD134" s="2" t="s">
        <v>33</v>
      </c>
    </row>
    <row r="135" spans="1:30" x14ac:dyDescent="0.3">
      <c r="A135" s="4" t="s">
        <v>570</v>
      </c>
      <c r="B135" s="4" t="s">
        <v>571</v>
      </c>
      <c r="C135" s="5" t="s">
        <v>572</v>
      </c>
      <c r="D135" s="5" t="s">
        <v>573</v>
      </c>
      <c r="E135" s="5">
        <v>604</v>
      </c>
      <c r="F135" s="4" t="s">
        <v>5</v>
      </c>
      <c r="G135" s="4" t="s">
        <v>33</v>
      </c>
      <c r="H135" s="4" t="s">
        <v>44</v>
      </c>
      <c r="I135" s="4" t="s">
        <v>512</v>
      </c>
      <c r="J135" s="4" t="s">
        <v>45</v>
      </c>
      <c r="K135" s="4" t="s">
        <v>200</v>
      </c>
      <c r="L135" s="4" t="s">
        <v>39</v>
      </c>
      <c r="M135" s="4" t="s">
        <v>39</v>
      </c>
      <c r="N135" s="4" t="s">
        <v>39</v>
      </c>
      <c r="O135" s="4" t="s">
        <v>38</v>
      </c>
      <c r="P135" s="4" t="s">
        <v>39</v>
      </c>
      <c r="Q135" s="4" t="s">
        <v>38</v>
      </c>
      <c r="R135" s="4" t="s">
        <v>39</v>
      </c>
      <c r="S135" s="4" t="s">
        <v>39</v>
      </c>
      <c r="T135" s="4" t="s">
        <v>39</v>
      </c>
      <c r="U135" s="4" t="s">
        <v>39</v>
      </c>
      <c r="V135" s="4" t="s">
        <v>39</v>
      </c>
      <c r="W135" s="4" t="s">
        <v>39</v>
      </c>
      <c r="X135" s="4" t="s">
        <v>39</v>
      </c>
      <c r="Y135" s="4" t="s">
        <v>39</v>
      </c>
      <c r="Z135" s="4" t="s">
        <v>39</v>
      </c>
      <c r="AA135" s="4" t="s">
        <v>39</v>
      </c>
      <c r="AB135" s="4" t="s">
        <v>512</v>
      </c>
      <c r="AC135" s="4" t="s">
        <v>33</v>
      </c>
      <c r="AD135" s="4" t="s">
        <v>33</v>
      </c>
    </row>
    <row r="136" spans="1:30" x14ac:dyDescent="0.3">
      <c r="A136" s="2" t="s">
        <v>574</v>
      </c>
      <c r="B136" s="2" t="s">
        <v>575</v>
      </c>
      <c r="C136" s="3" t="s">
        <v>576</v>
      </c>
      <c r="D136" s="3" t="s">
        <v>577</v>
      </c>
      <c r="E136" s="3">
        <v>740</v>
      </c>
      <c r="F136" s="2" t="s">
        <v>5</v>
      </c>
      <c r="G136" s="2" t="s">
        <v>33</v>
      </c>
      <c r="H136" s="2" t="s">
        <v>44</v>
      </c>
      <c r="I136" s="2" t="s">
        <v>512</v>
      </c>
      <c r="J136" s="2" t="s">
        <v>45</v>
      </c>
      <c r="K136" s="2" t="s">
        <v>200</v>
      </c>
      <c r="L136" s="2" t="s">
        <v>39</v>
      </c>
      <c r="M136" s="2" t="s">
        <v>39</v>
      </c>
      <c r="N136" s="2" t="s">
        <v>39</v>
      </c>
      <c r="O136" s="2" t="s">
        <v>38</v>
      </c>
      <c r="P136" s="2" t="s">
        <v>39</v>
      </c>
      <c r="Q136" s="2" t="s">
        <v>38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512</v>
      </c>
      <c r="AC136" s="2" t="s">
        <v>33</v>
      </c>
      <c r="AD136" s="2" t="s">
        <v>33</v>
      </c>
    </row>
    <row r="137" spans="1:30" x14ac:dyDescent="0.3">
      <c r="A137" s="4" t="s">
        <v>578</v>
      </c>
      <c r="B137" s="4" t="s">
        <v>579</v>
      </c>
      <c r="C137" s="5" t="s">
        <v>580</v>
      </c>
      <c r="D137" s="5" t="s">
        <v>581</v>
      </c>
      <c r="E137" s="5">
        <v>780</v>
      </c>
      <c r="F137" s="4" t="s">
        <v>5</v>
      </c>
      <c r="G137" s="4" t="s">
        <v>33</v>
      </c>
      <c r="H137" s="4" t="s">
        <v>44</v>
      </c>
      <c r="I137" s="4" t="s">
        <v>512</v>
      </c>
      <c r="J137" s="4" t="s">
        <v>36</v>
      </c>
      <c r="K137" s="4" t="s">
        <v>200</v>
      </c>
      <c r="L137" s="4" t="s">
        <v>39</v>
      </c>
      <c r="M137" s="4" t="s">
        <v>39</v>
      </c>
      <c r="N137" s="4" t="s">
        <v>39</v>
      </c>
      <c r="O137" s="4" t="s">
        <v>38</v>
      </c>
      <c r="P137" s="4" t="s">
        <v>39</v>
      </c>
      <c r="Q137" s="4" t="s">
        <v>38</v>
      </c>
      <c r="R137" s="4" t="s">
        <v>39</v>
      </c>
      <c r="S137" s="4" t="s">
        <v>39</v>
      </c>
      <c r="T137" s="4" t="s">
        <v>39</v>
      </c>
      <c r="U137" s="4" t="s">
        <v>39</v>
      </c>
      <c r="V137" s="4" t="s">
        <v>39</v>
      </c>
      <c r="W137" s="4" t="s">
        <v>39</v>
      </c>
      <c r="X137" s="4" t="s">
        <v>39</v>
      </c>
      <c r="Y137" s="4" t="s">
        <v>39</v>
      </c>
      <c r="Z137" s="4" t="s">
        <v>39</v>
      </c>
      <c r="AA137" s="4" t="s">
        <v>39</v>
      </c>
      <c r="AB137" s="4" t="s">
        <v>512</v>
      </c>
      <c r="AC137" s="4" t="s">
        <v>33</v>
      </c>
      <c r="AD137" s="4" t="s">
        <v>33</v>
      </c>
    </row>
    <row r="138" spans="1:30" x14ac:dyDescent="0.3">
      <c r="A138" s="2" t="s">
        <v>582</v>
      </c>
      <c r="B138" s="2" t="s">
        <v>583</v>
      </c>
      <c r="C138" s="3" t="s">
        <v>584</v>
      </c>
      <c r="D138" s="3" t="s">
        <v>585</v>
      </c>
      <c r="E138" s="3">
        <v>858</v>
      </c>
      <c r="F138" s="2" t="s">
        <v>5</v>
      </c>
      <c r="G138" s="2" t="s">
        <v>33</v>
      </c>
      <c r="H138" s="2" t="s">
        <v>44</v>
      </c>
      <c r="I138" s="2" t="s">
        <v>512</v>
      </c>
      <c r="J138" s="2" t="s">
        <v>36</v>
      </c>
      <c r="K138" s="2" t="s">
        <v>200</v>
      </c>
      <c r="L138" s="2" t="s">
        <v>39</v>
      </c>
      <c r="M138" s="2" t="s">
        <v>39</v>
      </c>
      <c r="N138" s="2" t="s">
        <v>39</v>
      </c>
      <c r="O138" s="2" t="s">
        <v>38</v>
      </c>
      <c r="P138" s="2" t="s">
        <v>39</v>
      </c>
      <c r="Q138" s="2" t="s">
        <v>38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512</v>
      </c>
      <c r="AC138" s="2" t="s">
        <v>33</v>
      </c>
      <c r="AD138" s="2" t="s">
        <v>33</v>
      </c>
    </row>
    <row r="139" spans="1:30" x14ac:dyDescent="0.3">
      <c r="A139" s="4" t="s">
        <v>586</v>
      </c>
      <c r="B139" s="4" t="s">
        <v>587</v>
      </c>
      <c r="C139" s="5" t="s">
        <v>588</v>
      </c>
      <c r="D139" s="5" t="s">
        <v>589</v>
      </c>
      <c r="E139" s="5">
        <v>862</v>
      </c>
      <c r="F139" s="4" t="s">
        <v>5</v>
      </c>
      <c r="G139" s="4" t="s">
        <v>33</v>
      </c>
      <c r="H139" s="4" t="s">
        <v>44</v>
      </c>
      <c r="I139" s="4" t="s">
        <v>512</v>
      </c>
      <c r="J139" s="4" t="s">
        <v>45</v>
      </c>
      <c r="K139" s="4" t="s">
        <v>200</v>
      </c>
      <c r="L139" s="4" t="s">
        <v>39</v>
      </c>
      <c r="M139" s="4" t="s">
        <v>39</v>
      </c>
      <c r="N139" s="4" t="s">
        <v>39</v>
      </c>
      <c r="O139" s="4" t="s">
        <v>38</v>
      </c>
      <c r="P139" s="4" t="s">
        <v>39</v>
      </c>
      <c r="Q139" s="4" t="s">
        <v>38</v>
      </c>
      <c r="R139" s="4" t="s">
        <v>39</v>
      </c>
      <c r="S139" s="4" t="s">
        <v>39</v>
      </c>
      <c r="T139" s="4" t="s">
        <v>39</v>
      </c>
      <c r="U139" s="4" t="s">
        <v>39</v>
      </c>
      <c r="V139" s="4" t="s">
        <v>39</v>
      </c>
      <c r="W139" s="4" t="s">
        <v>39</v>
      </c>
      <c r="X139" s="4" t="s">
        <v>39</v>
      </c>
      <c r="Y139" s="4" t="s">
        <v>39</v>
      </c>
      <c r="Z139" s="4" t="s">
        <v>39</v>
      </c>
      <c r="AA139" s="4" t="s">
        <v>39</v>
      </c>
      <c r="AB139" s="4" t="s">
        <v>512</v>
      </c>
      <c r="AC139" s="4" t="s">
        <v>33</v>
      </c>
      <c r="AD139" s="4" t="s">
        <v>33</v>
      </c>
    </row>
    <row r="140" spans="1:30" x14ac:dyDescent="0.3">
      <c r="A140" s="2" t="s">
        <v>590</v>
      </c>
      <c r="B140" s="2" t="s">
        <v>591</v>
      </c>
      <c r="C140" s="3" t="s">
        <v>592</v>
      </c>
      <c r="D140" s="3" t="s">
        <v>593</v>
      </c>
      <c r="E140" s="3">
        <v>48</v>
      </c>
      <c r="F140" s="2" t="s">
        <v>5</v>
      </c>
      <c r="G140" s="2" t="s">
        <v>73</v>
      </c>
      <c r="H140" s="2" t="s">
        <v>74</v>
      </c>
      <c r="I140" s="2" t="s">
        <v>594</v>
      </c>
      <c r="J140" s="2" t="s">
        <v>36</v>
      </c>
      <c r="K140" s="2" t="s">
        <v>200</v>
      </c>
      <c r="L140" s="2" t="s">
        <v>39</v>
      </c>
      <c r="M140" s="2" t="s">
        <v>39</v>
      </c>
      <c r="N140" s="2" t="s">
        <v>39</v>
      </c>
      <c r="O140" s="2" t="s">
        <v>38</v>
      </c>
      <c r="P140" s="2" t="s">
        <v>39</v>
      </c>
      <c r="Q140" s="2" t="s">
        <v>38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594</v>
      </c>
      <c r="AC140" s="2" t="s">
        <v>73</v>
      </c>
      <c r="AD140" s="2" t="s">
        <v>73</v>
      </c>
    </row>
    <row r="141" spans="1:30" x14ac:dyDescent="0.3">
      <c r="A141" s="4" t="s">
        <v>595</v>
      </c>
      <c r="B141" s="4" t="s">
        <v>596</v>
      </c>
      <c r="C141" s="5" t="s">
        <v>597</v>
      </c>
      <c r="D141" s="5" t="s">
        <v>598</v>
      </c>
      <c r="E141" s="5">
        <v>364</v>
      </c>
      <c r="F141" s="4" t="s">
        <v>5</v>
      </c>
      <c r="G141" s="4" t="s">
        <v>73</v>
      </c>
      <c r="H141" s="4" t="s">
        <v>74</v>
      </c>
      <c r="I141" s="4" t="s">
        <v>594</v>
      </c>
      <c r="J141" s="4" t="s">
        <v>36</v>
      </c>
      <c r="K141" s="4" t="s">
        <v>200</v>
      </c>
      <c r="L141" s="4" t="s">
        <v>39</v>
      </c>
      <c r="M141" s="4" t="s">
        <v>39</v>
      </c>
      <c r="N141" s="4" t="s">
        <v>39</v>
      </c>
      <c r="O141" s="4" t="s">
        <v>38</v>
      </c>
      <c r="P141" s="4" t="s">
        <v>39</v>
      </c>
      <c r="Q141" s="4" t="s">
        <v>38</v>
      </c>
      <c r="R141" s="4" t="s">
        <v>39</v>
      </c>
      <c r="S141" s="4" t="s">
        <v>39</v>
      </c>
      <c r="T141" s="4" t="s">
        <v>39</v>
      </c>
      <c r="U141" s="4" t="s">
        <v>39</v>
      </c>
      <c r="V141" s="4" t="s">
        <v>39</v>
      </c>
      <c r="W141" s="4" t="s">
        <v>38</v>
      </c>
      <c r="X141" s="4" t="s">
        <v>39</v>
      </c>
      <c r="Y141" s="4" t="s">
        <v>39</v>
      </c>
      <c r="Z141" s="4" t="s">
        <v>39</v>
      </c>
      <c r="AA141" s="4" t="s">
        <v>39</v>
      </c>
      <c r="AB141" s="4" t="s">
        <v>594</v>
      </c>
      <c r="AC141" s="4" t="s">
        <v>73</v>
      </c>
      <c r="AD141" s="4" t="s">
        <v>73</v>
      </c>
    </row>
    <row r="142" spans="1:30" x14ac:dyDescent="0.3">
      <c r="A142" s="2" t="s">
        <v>599</v>
      </c>
      <c r="B142" s="2" t="s">
        <v>600</v>
      </c>
      <c r="C142" s="3" t="s">
        <v>601</v>
      </c>
      <c r="D142" s="3" t="s">
        <v>602</v>
      </c>
      <c r="E142" s="3">
        <v>368</v>
      </c>
      <c r="F142" s="2" t="s">
        <v>5</v>
      </c>
      <c r="G142" s="2" t="s">
        <v>73</v>
      </c>
      <c r="H142" s="2" t="s">
        <v>74</v>
      </c>
      <c r="I142" s="2" t="s">
        <v>594</v>
      </c>
      <c r="J142" s="2" t="s">
        <v>45</v>
      </c>
      <c r="K142" s="2" t="s">
        <v>200</v>
      </c>
      <c r="L142" s="2" t="s">
        <v>39</v>
      </c>
      <c r="M142" s="2" t="s">
        <v>39</v>
      </c>
      <c r="N142" s="2" t="s">
        <v>39</v>
      </c>
      <c r="O142" s="2" t="s">
        <v>38</v>
      </c>
      <c r="P142" s="2" t="s">
        <v>39</v>
      </c>
      <c r="Q142" s="2" t="s">
        <v>38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594</v>
      </c>
      <c r="AC142" s="2" t="s">
        <v>73</v>
      </c>
      <c r="AD142" s="2" t="s">
        <v>73</v>
      </c>
    </row>
    <row r="143" spans="1:30" x14ac:dyDescent="0.3">
      <c r="A143" s="4" t="s">
        <v>603</v>
      </c>
      <c r="B143" s="4" t="s">
        <v>604</v>
      </c>
      <c r="C143" s="5" t="s">
        <v>605</v>
      </c>
      <c r="D143" s="5" t="s">
        <v>606</v>
      </c>
      <c r="E143" s="5">
        <v>400</v>
      </c>
      <c r="F143" s="4" t="s">
        <v>5</v>
      </c>
      <c r="G143" s="4" t="s">
        <v>73</v>
      </c>
      <c r="H143" s="4" t="s">
        <v>74</v>
      </c>
      <c r="I143" s="4" t="s">
        <v>594</v>
      </c>
      <c r="J143" s="4" t="s">
        <v>45</v>
      </c>
      <c r="K143" s="4" t="s">
        <v>200</v>
      </c>
      <c r="L143" s="4" t="s">
        <v>39</v>
      </c>
      <c r="M143" s="4" t="s">
        <v>39</v>
      </c>
      <c r="N143" s="4" t="s">
        <v>39</v>
      </c>
      <c r="O143" s="4" t="s">
        <v>38</v>
      </c>
      <c r="P143" s="4" t="s">
        <v>39</v>
      </c>
      <c r="Q143" s="4" t="s">
        <v>38</v>
      </c>
      <c r="R143" s="4" t="s">
        <v>39</v>
      </c>
      <c r="S143" s="4" t="s">
        <v>39</v>
      </c>
      <c r="T143" s="4" t="s">
        <v>39</v>
      </c>
      <c r="U143" s="4" t="s">
        <v>39</v>
      </c>
      <c r="V143" s="4" t="s">
        <v>39</v>
      </c>
      <c r="W143" s="4" t="s">
        <v>39</v>
      </c>
      <c r="X143" s="4" t="s">
        <v>39</v>
      </c>
      <c r="Y143" s="4" t="s">
        <v>39</v>
      </c>
      <c r="Z143" s="4" t="s">
        <v>39</v>
      </c>
      <c r="AA143" s="4" t="s">
        <v>39</v>
      </c>
      <c r="AB143" s="4" t="s">
        <v>594</v>
      </c>
      <c r="AC143" s="4" t="s">
        <v>73</v>
      </c>
      <c r="AD143" s="4" t="s">
        <v>73</v>
      </c>
    </row>
    <row r="144" spans="1:30" x14ac:dyDescent="0.3">
      <c r="A144" s="2" t="s">
        <v>607</v>
      </c>
      <c r="B144" s="2" t="s">
        <v>608</v>
      </c>
      <c r="C144" s="3" t="s">
        <v>609</v>
      </c>
      <c r="D144" s="3" t="s">
        <v>610</v>
      </c>
      <c r="E144" s="3">
        <v>414</v>
      </c>
      <c r="F144" s="2" t="s">
        <v>5</v>
      </c>
      <c r="G144" s="2" t="s">
        <v>73</v>
      </c>
      <c r="H144" s="2" t="s">
        <v>74</v>
      </c>
      <c r="I144" s="2" t="s">
        <v>594</v>
      </c>
      <c r="J144" s="2" t="s">
        <v>36</v>
      </c>
      <c r="K144" s="2" t="s">
        <v>200</v>
      </c>
      <c r="L144" s="2" t="s">
        <v>39</v>
      </c>
      <c r="M144" s="2" t="s">
        <v>39</v>
      </c>
      <c r="N144" s="2" t="s">
        <v>39</v>
      </c>
      <c r="O144" s="2" t="s">
        <v>38</v>
      </c>
      <c r="P144" s="2" t="s">
        <v>39</v>
      </c>
      <c r="Q144" s="2" t="s">
        <v>38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594</v>
      </c>
      <c r="AC144" s="2" t="s">
        <v>73</v>
      </c>
      <c r="AD144" s="2" t="s">
        <v>73</v>
      </c>
    </row>
    <row r="145" spans="1:30" x14ac:dyDescent="0.3">
      <c r="A145" s="4" t="s">
        <v>611</v>
      </c>
      <c r="B145" s="4" t="s">
        <v>612</v>
      </c>
      <c r="C145" s="5" t="s">
        <v>613</v>
      </c>
      <c r="D145" s="5" t="s">
        <v>614</v>
      </c>
      <c r="E145" s="5">
        <v>422</v>
      </c>
      <c r="F145" s="4" t="s">
        <v>5</v>
      </c>
      <c r="G145" s="4" t="s">
        <v>73</v>
      </c>
      <c r="H145" s="4" t="s">
        <v>74</v>
      </c>
      <c r="I145" s="4" t="s">
        <v>594</v>
      </c>
      <c r="J145" s="4" t="s">
        <v>45</v>
      </c>
      <c r="K145" s="4" t="s">
        <v>200</v>
      </c>
      <c r="L145" s="4" t="s">
        <v>39</v>
      </c>
      <c r="M145" s="4" t="s">
        <v>39</v>
      </c>
      <c r="N145" s="4" t="s">
        <v>39</v>
      </c>
      <c r="O145" s="4" t="s">
        <v>38</v>
      </c>
      <c r="P145" s="4" t="s">
        <v>39</v>
      </c>
      <c r="Q145" s="4" t="s">
        <v>38</v>
      </c>
      <c r="R145" s="4" t="s">
        <v>39</v>
      </c>
      <c r="S145" s="4" t="s">
        <v>39</v>
      </c>
      <c r="T145" s="4" t="s">
        <v>39</v>
      </c>
      <c r="U145" s="4" t="s">
        <v>39</v>
      </c>
      <c r="V145" s="4" t="s">
        <v>39</v>
      </c>
      <c r="W145" s="4" t="s">
        <v>39</v>
      </c>
      <c r="X145" s="4" t="s">
        <v>39</v>
      </c>
      <c r="Y145" s="4" t="s">
        <v>39</v>
      </c>
      <c r="Z145" s="4" t="s">
        <v>39</v>
      </c>
      <c r="AA145" s="4" t="s">
        <v>39</v>
      </c>
      <c r="AB145" s="4" t="s">
        <v>594</v>
      </c>
      <c r="AC145" s="4" t="s">
        <v>73</v>
      </c>
      <c r="AD145" s="4" t="s">
        <v>73</v>
      </c>
    </row>
    <row r="146" spans="1:30" x14ac:dyDescent="0.3">
      <c r="A146" s="2" t="s">
        <v>615</v>
      </c>
      <c r="B146" s="2" t="s">
        <v>616</v>
      </c>
      <c r="C146" s="3" t="s">
        <v>617</v>
      </c>
      <c r="D146" s="3" t="s">
        <v>618</v>
      </c>
      <c r="E146" s="3">
        <v>512</v>
      </c>
      <c r="F146" s="2" t="s">
        <v>5</v>
      </c>
      <c r="G146" s="2" t="s">
        <v>73</v>
      </c>
      <c r="H146" s="2" t="s">
        <v>74</v>
      </c>
      <c r="I146" s="2" t="s">
        <v>594</v>
      </c>
      <c r="J146" s="2" t="s">
        <v>36</v>
      </c>
      <c r="K146" s="2" t="s">
        <v>200</v>
      </c>
      <c r="L146" s="2" t="s">
        <v>39</v>
      </c>
      <c r="M146" s="2" t="s">
        <v>39</v>
      </c>
      <c r="N146" s="2" t="s">
        <v>39</v>
      </c>
      <c r="O146" s="2" t="s">
        <v>38</v>
      </c>
      <c r="P146" s="2" t="s">
        <v>39</v>
      </c>
      <c r="Q146" s="2" t="s">
        <v>38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594</v>
      </c>
      <c r="AC146" s="2" t="s">
        <v>73</v>
      </c>
      <c r="AD146" s="2" t="s">
        <v>73</v>
      </c>
    </row>
    <row r="147" spans="1:30" x14ac:dyDescent="0.3">
      <c r="A147" s="4" t="s">
        <v>619</v>
      </c>
      <c r="B147" s="4" t="s">
        <v>620</v>
      </c>
      <c r="C147" s="5" t="s">
        <v>621</v>
      </c>
      <c r="D147" s="5" t="s">
        <v>622</v>
      </c>
      <c r="E147" s="5">
        <v>634</v>
      </c>
      <c r="F147" s="4" t="s">
        <v>5</v>
      </c>
      <c r="G147" s="4" t="s">
        <v>73</v>
      </c>
      <c r="H147" s="4" t="s">
        <v>74</v>
      </c>
      <c r="I147" s="4" t="s">
        <v>594</v>
      </c>
      <c r="J147" s="4" t="s">
        <v>36</v>
      </c>
      <c r="K147" s="4" t="s">
        <v>200</v>
      </c>
      <c r="L147" s="4" t="s">
        <v>39</v>
      </c>
      <c r="M147" s="4" t="s">
        <v>39</v>
      </c>
      <c r="N147" s="4" t="s">
        <v>39</v>
      </c>
      <c r="O147" s="4" t="s">
        <v>38</v>
      </c>
      <c r="P147" s="4" t="s">
        <v>39</v>
      </c>
      <c r="Q147" s="4" t="s">
        <v>38</v>
      </c>
      <c r="R147" s="4" t="s">
        <v>39</v>
      </c>
      <c r="S147" s="4" t="s">
        <v>39</v>
      </c>
      <c r="T147" s="4" t="s">
        <v>39</v>
      </c>
      <c r="U147" s="4" t="s">
        <v>39</v>
      </c>
      <c r="V147" s="4" t="s">
        <v>39</v>
      </c>
      <c r="W147" s="4" t="s">
        <v>39</v>
      </c>
      <c r="X147" s="4" t="s">
        <v>39</v>
      </c>
      <c r="Y147" s="4" t="s">
        <v>39</v>
      </c>
      <c r="Z147" s="4" t="s">
        <v>39</v>
      </c>
      <c r="AA147" s="4" t="s">
        <v>39</v>
      </c>
      <c r="AB147" s="4" t="s">
        <v>594</v>
      </c>
      <c r="AC147" s="4" t="s">
        <v>73</v>
      </c>
      <c r="AD147" s="4" t="s">
        <v>73</v>
      </c>
    </row>
    <row r="148" spans="1:30" x14ac:dyDescent="0.3">
      <c r="A148" s="2" t="s">
        <v>623</v>
      </c>
      <c r="B148" s="2" t="s">
        <v>624</v>
      </c>
      <c r="C148" s="3" t="s">
        <v>625</v>
      </c>
      <c r="D148" s="3" t="s">
        <v>626</v>
      </c>
      <c r="E148" s="3">
        <v>682</v>
      </c>
      <c r="F148" s="2" t="s">
        <v>5</v>
      </c>
      <c r="G148" s="2" t="s">
        <v>73</v>
      </c>
      <c r="H148" s="2" t="s">
        <v>74</v>
      </c>
      <c r="I148" s="2" t="s">
        <v>594</v>
      </c>
      <c r="J148" s="2" t="s">
        <v>36</v>
      </c>
      <c r="K148" s="2" t="s">
        <v>200</v>
      </c>
      <c r="L148" s="2" t="s">
        <v>39</v>
      </c>
      <c r="M148" s="2" t="s">
        <v>39</v>
      </c>
      <c r="N148" s="2" t="s">
        <v>39</v>
      </c>
      <c r="O148" s="2" t="s">
        <v>38</v>
      </c>
      <c r="P148" s="2" t="s">
        <v>39</v>
      </c>
      <c r="Q148" s="2" t="s">
        <v>38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38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594</v>
      </c>
      <c r="AC148" s="2" t="s">
        <v>73</v>
      </c>
      <c r="AD148" s="2" t="s">
        <v>21</v>
      </c>
    </row>
    <row r="149" spans="1:30" x14ac:dyDescent="0.3">
      <c r="A149" s="4" t="s">
        <v>627</v>
      </c>
      <c r="B149" s="4" t="s">
        <v>628</v>
      </c>
      <c r="C149" s="5" t="s">
        <v>629</v>
      </c>
      <c r="D149" s="5" t="s">
        <v>630</v>
      </c>
      <c r="E149" s="5">
        <v>760</v>
      </c>
      <c r="F149" s="4" t="s">
        <v>5</v>
      </c>
      <c r="G149" s="4" t="s">
        <v>73</v>
      </c>
      <c r="H149" s="4" t="s">
        <v>74</v>
      </c>
      <c r="I149" s="4" t="s">
        <v>594</v>
      </c>
      <c r="J149" s="4" t="s">
        <v>45</v>
      </c>
      <c r="K149" s="4" t="s">
        <v>200</v>
      </c>
      <c r="L149" s="4" t="s">
        <v>39</v>
      </c>
      <c r="M149" s="4" t="s">
        <v>39</v>
      </c>
      <c r="N149" s="4" t="s">
        <v>39</v>
      </c>
      <c r="O149" s="4" t="s">
        <v>38</v>
      </c>
      <c r="P149" s="4" t="s">
        <v>39</v>
      </c>
      <c r="Q149" s="4" t="s">
        <v>38</v>
      </c>
      <c r="R149" s="4" t="s">
        <v>39</v>
      </c>
      <c r="S149" s="4" t="s">
        <v>39</v>
      </c>
      <c r="T149" s="4" t="s">
        <v>39</v>
      </c>
      <c r="U149" s="4" t="s">
        <v>39</v>
      </c>
      <c r="V149" s="4" t="s">
        <v>39</v>
      </c>
      <c r="W149" s="4" t="s">
        <v>39</v>
      </c>
      <c r="X149" s="4" t="s">
        <v>39</v>
      </c>
      <c r="Y149" s="4" t="s">
        <v>39</v>
      </c>
      <c r="Z149" s="4" t="s">
        <v>39</v>
      </c>
      <c r="AA149" s="4" t="s">
        <v>39</v>
      </c>
      <c r="AB149" s="4" t="s">
        <v>594</v>
      </c>
      <c r="AC149" s="4" t="s">
        <v>73</v>
      </c>
      <c r="AD149" s="4" t="s">
        <v>73</v>
      </c>
    </row>
    <row r="150" spans="1:30" x14ac:dyDescent="0.3">
      <c r="A150" s="2" t="s">
        <v>631</v>
      </c>
      <c r="B150" s="2" t="s">
        <v>631</v>
      </c>
      <c r="C150" s="3" t="s">
        <v>632</v>
      </c>
      <c r="D150" s="3" t="s">
        <v>633</v>
      </c>
      <c r="E150" s="3">
        <v>784</v>
      </c>
      <c r="F150" s="2" t="s">
        <v>5</v>
      </c>
      <c r="G150" s="2" t="s">
        <v>73</v>
      </c>
      <c r="H150" s="2" t="s">
        <v>74</v>
      </c>
      <c r="I150" s="2" t="s">
        <v>594</v>
      </c>
      <c r="J150" s="2" t="s">
        <v>36</v>
      </c>
      <c r="K150" s="2" t="s">
        <v>200</v>
      </c>
      <c r="L150" s="2" t="s">
        <v>39</v>
      </c>
      <c r="M150" s="2" t="s">
        <v>39</v>
      </c>
      <c r="N150" s="2" t="s">
        <v>39</v>
      </c>
      <c r="O150" s="2" t="s">
        <v>38</v>
      </c>
      <c r="P150" s="2" t="s">
        <v>39</v>
      </c>
      <c r="Q150" s="2" t="s">
        <v>38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38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594</v>
      </c>
      <c r="AC150" s="2" t="s">
        <v>73</v>
      </c>
      <c r="AD150" s="2" t="s">
        <v>73</v>
      </c>
    </row>
    <row r="151" spans="1:30" x14ac:dyDescent="0.3">
      <c r="A151" s="4" t="s">
        <v>634</v>
      </c>
      <c r="B151" s="4" t="s">
        <v>635</v>
      </c>
      <c r="C151" s="5" t="s">
        <v>636</v>
      </c>
      <c r="D151" s="5" t="s">
        <v>637</v>
      </c>
      <c r="E151" s="5">
        <v>887</v>
      </c>
      <c r="F151" s="4" t="s">
        <v>5</v>
      </c>
      <c r="G151" s="4" t="s">
        <v>73</v>
      </c>
      <c r="H151" s="4" t="s">
        <v>74</v>
      </c>
      <c r="I151" s="4" t="s">
        <v>594</v>
      </c>
      <c r="J151" s="4" t="s">
        <v>321</v>
      </c>
      <c r="K151" s="4" t="s">
        <v>200</v>
      </c>
      <c r="L151" s="4" t="s">
        <v>39</v>
      </c>
      <c r="M151" s="4" t="s">
        <v>39</v>
      </c>
      <c r="N151" s="4" t="s">
        <v>39</v>
      </c>
      <c r="O151" s="4" t="s">
        <v>38</v>
      </c>
      <c r="P151" s="4" t="s">
        <v>39</v>
      </c>
      <c r="Q151" s="4" t="s">
        <v>38</v>
      </c>
      <c r="R151" s="4" t="s">
        <v>39</v>
      </c>
      <c r="S151" s="4" t="s">
        <v>39</v>
      </c>
      <c r="T151" s="4" t="s">
        <v>39</v>
      </c>
      <c r="U151" s="4" t="s">
        <v>39</v>
      </c>
      <c r="V151" s="4" t="s">
        <v>39</v>
      </c>
      <c r="W151" s="4" t="s">
        <v>39</v>
      </c>
      <c r="X151" s="4" t="s">
        <v>39</v>
      </c>
      <c r="Y151" s="4" t="s">
        <v>39</v>
      </c>
      <c r="Z151" s="4" t="s">
        <v>39</v>
      </c>
      <c r="AA151" s="4" t="s">
        <v>39</v>
      </c>
      <c r="AB151" s="4" t="s">
        <v>594</v>
      </c>
      <c r="AC151" s="4" t="s">
        <v>73</v>
      </c>
      <c r="AD151" s="4" t="s">
        <v>73</v>
      </c>
    </row>
    <row r="152" spans="1:30" x14ac:dyDescent="0.3">
      <c r="A152" s="9" t="s">
        <v>704</v>
      </c>
      <c r="D152" s="10" t="s">
        <v>707</v>
      </c>
      <c r="F152" s="2" t="s">
        <v>5</v>
      </c>
      <c r="G152" s="2" t="s">
        <v>290</v>
      </c>
      <c r="L152" s="9" t="s">
        <v>39</v>
      </c>
      <c r="M152" s="9" t="s">
        <v>39</v>
      </c>
      <c r="N152" s="9" t="s">
        <v>39</v>
      </c>
      <c r="O152" s="9" t="s">
        <v>39</v>
      </c>
      <c r="P152" s="9" t="s">
        <v>39</v>
      </c>
      <c r="Q152" s="9" t="s">
        <v>39</v>
      </c>
      <c r="R152" s="9" t="s">
        <v>39</v>
      </c>
      <c r="S152" s="9" t="s">
        <v>39</v>
      </c>
      <c r="T152" s="9" t="s">
        <v>39</v>
      </c>
      <c r="U152" s="9" t="s">
        <v>39</v>
      </c>
      <c r="V152" s="9" t="s">
        <v>39</v>
      </c>
      <c r="W152" s="9" t="s">
        <v>39</v>
      </c>
      <c r="X152" s="9" t="s">
        <v>39</v>
      </c>
      <c r="Y152" s="9" t="s">
        <v>39</v>
      </c>
      <c r="Z152" s="9" t="s">
        <v>39</v>
      </c>
      <c r="AA152" s="9" t="s">
        <v>39</v>
      </c>
    </row>
    <row r="153" spans="1:30" x14ac:dyDescent="0.3">
      <c r="A153" s="9" t="s">
        <v>705</v>
      </c>
      <c r="D153" s="11" t="s">
        <v>708</v>
      </c>
      <c r="F153" s="2" t="s">
        <v>5</v>
      </c>
      <c r="G153" s="4" t="s">
        <v>73</v>
      </c>
      <c r="L153" s="9" t="s">
        <v>39</v>
      </c>
      <c r="M153" s="9" t="s">
        <v>39</v>
      </c>
      <c r="N153" s="9" t="s">
        <v>39</v>
      </c>
      <c r="O153" s="9" t="s">
        <v>39</v>
      </c>
      <c r="P153" s="9" t="s">
        <v>39</v>
      </c>
      <c r="Q153" s="9" t="s">
        <v>39</v>
      </c>
      <c r="R153" s="9" t="s">
        <v>39</v>
      </c>
      <c r="S153" s="9" t="s">
        <v>39</v>
      </c>
      <c r="T153" s="9" t="s">
        <v>39</v>
      </c>
      <c r="U153" s="9" t="s">
        <v>39</v>
      </c>
      <c r="V153" s="9" t="s">
        <v>39</v>
      </c>
      <c r="W153" s="9" t="s">
        <v>39</v>
      </c>
      <c r="X153" s="9" t="s">
        <v>39</v>
      </c>
      <c r="Y153" s="9" t="s">
        <v>39</v>
      </c>
      <c r="Z153" s="9" t="s">
        <v>39</v>
      </c>
      <c r="AA153" s="9" t="s">
        <v>39</v>
      </c>
    </row>
  </sheetData>
  <autoFilter ref="A1:AD15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4.4" x14ac:dyDescent="0.3"/>
  <cols>
    <col min="1" max="1" width="28" customWidth="1"/>
    <col min="2" max="2" width="24" customWidth="1"/>
    <col min="3" max="3" width="88" customWidth="1"/>
    <col min="4" max="4" width="41" customWidth="1"/>
  </cols>
  <sheetData>
    <row r="1" spans="1:4" x14ac:dyDescent="0.3">
      <c r="A1" s="6" t="s">
        <v>638</v>
      </c>
      <c r="B1" s="6" t="s">
        <v>639</v>
      </c>
      <c r="C1" s="6" t="s">
        <v>640</v>
      </c>
      <c r="D1" s="6" t="s">
        <v>641</v>
      </c>
    </row>
    <row r="2" spans="1:4" x14ac:dyDescent="0.3">
      <c r="A2" s="4" t="s">
        <v>0</v>
      </c>
      <c r="B2" s="4" t="s">
        <v>642</v>
      </c>
      <c r="C2" s="4" t="s">
        <v>643</v>
      </c>
      <c r="D2" s="4" t="s">
        <v>644</v>
      </c>
    </row>
    <row r="3" spans="1:4" x14ac:dyDescent="0.3">
      <c r="A3" s="4" t="s">
        <v>1</v>
      </c>
      <c r="B3" s="4" t="s">
        <v>642</v>
      </c>
      <c r="C3" s="4" t="s">
        <v>645</v>
      </c>
      <c r="D3" s="4" t="s">
        <v>646</v>
      </c>
    </row>
    <row r="4" spans="1:4" x14ac:dyDescent="0.3">
      <c r="A4" s="4" t="s">
        <v>2</v>
      </c>
      <c r="B4" s="4" t="s">
        <v>642</v>
      </c>
      <c r="C4" s="4" t="s">
        <v>647</v>
      </c>
      <c r="D4" s="4" t="s">
        <v>648</v>
      </c>
    </row>
    <row r="5" spans="1:4" x14ac:dyDescent="0.3">
      <c r="A5" s="4" t="s">
        <v>3</v>
      </c>
      <c r="B5" s="4" t="s">
        <v>642</v>
      </c>
      <c r="C5" s="4" t="s">
        <v>649</v>
      </c>
      <c r="D5" s="4" t="s">
        <v>650</v>
      </c>
    </row>
    <row r="6" spans="1:4" x14ac:dyDescent="0.3">
      <c r="A6" s="4" t="s">
        <v>4</v>
      </c>
      <c r="B6" s="4" t="s">
        <v>642</v>
      </c>
      <c r="C6" s="4" t="s">
        <v>651</v>
      </c>
      <c r="D6" s="4" t="s">
        <v>652</v>
      </c>
    </row>
    <row r="7" spans="1:4" x14ac:dyDescent="0.3">
      <c r="A7" s="4" t="s">
        <v>5</v>
      </c>
      <c r="B7" s="4" t="s">
        <v>653</v>
      </c>
      <c r="C7" s="4" t="s">
        <v>654</v>
      </c>
      <c r="D7" s="4" t="s">
        <v>5</v>
      </c>
    </row>
    <row r="8" spans="1:4" x14ac:dyDescent="0.3">
      <c r="A8" s="4" t="s">
        <v>6</v>
      </c>
      <c r="B8" s="4" t="s">
        <v>653</v>
      </c>
      <c r="C8" s="4" t="s">
        <v>655</v>
      </c>
      <c r="D8" s="4" t="s">
        <v>656</v>
      </c>
    </row>
    <row r="9" spans="1:4" x14ac:dyDescent="0.3">
      <c r="A9" s="4" t="s">
        <v>7</v>
      </c>
      <c r="B9" s="4" t="s">
        <v>653</v>
      </c>
      <c r="C9" s="4" t="s">
        <v>657</v>
      </c>
      <c r="D9" s="4" t="s">
        <v>658</v>
      </c>
    </row>
    <row r="10" spans="1:4" x14ac:dyDescent="0.3">
      <c r="A10" s="4" t="s">
        <v>8</v>
      </c>
      <c r="B10" s="4" t="s">
        <v>653</v>
      </c>
      <c r="C10" s="4" t="s">
        <v>659</v>
      </c>
      <c r="D10" s="4" t="s">
        <v>660</v>
      </c>
    </row>
    <row r="11" spans="1:4" x14ac:dyDescent="0.3">
      <c r="A11" s="4" t="s">
        <v>9</v>
      </c>
      <c r="B11" s="4" t="s">
        <v>653</v>
      </c>
      <c r="C11" s="4" t="s">
        <v>661</v>
      </c>
      <c r="D11" s="4" t="s">
        <v>662</v>
      </c>
    </row>
    <row r="12" spans="1:4" x14ac:dyDescent="0.3">
      <c r="A12" s="4" t="s">
        <v>10</v>
      </c>
      <c r="B12" s="4" t="s">
        <v>663</v>
      </c>
      <c r="C12" s="4" t="s">
        <v>664</v>
      </c>
      <c r="D12" s="4" t="s">
        <v>665</v>
      </c>
    </row>
    <row r="13" spans="1:4" x14ac:dyDescent="0.3">
      <c r="A13" s="4" t="s">
        <v>11</v>
      </c>
      <c r="B13" s="4" t="s">
        <v>663</v>
      </c>
      <c r="C13" s="4" t="s">
        <v>666</v>
      </c>
      <c r="D13" s="4" t="s">
        <v>667</v>
      </c>
    </row>
    <row r="14" spans="1:4" x14ac:dyDescent="0.3">
      <c r="A14" s="4" t="s">
        <v>12</v>
      </c>
      <c r="B14" s="4" t="s">
        <v>668</v>
      </c>
      <c r="C14" s="4" t="s">
        <v>669</v>
      </c>
      <c r="D14" s="4" t="s">
        <v>667</v>
      </c>
    </row>
    <row r="15" spans="1:4" x14ac:dyDescent="0.3">
      <c r="A15" s="4" t="s">
        <v>13</v>
      </c>
      <c r="B15" s="4" t="s">
        <v>668</v>
      </c>
      <c r="C15" s="4" t="s">
        <v>670</v>
      </c>
      <c r="D15" s="4" t="s">
        <v>667</v>
      </c>
    </row>
    <row r="16" spans="1:4" x14ac:dyDescent="0.3">
      <c r="A16" s="4" t="s">
        <v>14</v>
      </c>
      <c r="B16" s="4" t="s">
        <v>668</v>
      </c>
      <c r="C16" s="4" t="s">
        <v>671</v>
      </c>
      <c r="D16" s="4" t="s">
        <v>667</v>
      </c>
    </row>
    <row r="17" spans="1:4" x14ac:dyDescent="0.3">
      <c r="A17" s="4" t="s">
        <v>15</v>
      </c>
      <c r="B17" s="4" t="s">
        <v>668</v>
      </c>
      <c r="C17" s="4" t="s">
        <v>672</v>
      </c>
      <c r="D17" s="4" t="s">
        <v>667</v>
      </c>
    </row>
    <row r="18" spans="1:4" x14ac:dyDescent="0.3">
      <c r="A18" s="4" t="s">
        <v>16</v>
      </c>
      <c r="B18" s="4" t="s">
        <v>668</v>
      </c>
      <c r="C18" s="4" t="s">
        <v>673</v>
      </c>
      <c r="D18" s="4" t="s">
        <v>667</v>
      </c>
    </row>
    <row r="19" spans="1:4" x14ac:dyDescent="0.3">
      <c r="A19" s="4" t="s">
        <v>17</v>
      </c>
      <c r="B19" s="4" t="s">
        <v>674</v>
      </c>
      <c r="C19" s="4" t="s">
        <v>675</v>
      </c>
      <c r="D19" s="4" t="s">
        <v>667</v>
      </c>
    </row>
    <row r="20" spans="1:4" x14ac:dyDescent="0.3">
      <c r="A20" s="4" t="s">
        <v>18</v>
      </c>
      <c r="B20" s="4" t="s">
        <v>674</v>
      </c>
      <c r="C20" s="4" t="s">
        <v>676</v>
      </c>
      <c r="D20" s="4" t="s">
        <v>667</v>
      </c>
    </row>
    <row r="21" spans="1:4" x14ac:dyDescent="0.3">
      <c r="A21" s="4" t="s">
        <v>19</v>
      </c>
      <c r="B21" s="4" t="s">
        <v>674</v>
      </c>
      <c r="C21" s="4" t="s">
        <v>677</v>
      </c>
      <c r="D21" s="4" t="s">
        <v>667</v>
      </c>
    </row>
    <row r="22" spans="1:4" x14ac:dyDescent="0.3">
      <c r="A22" s="4" t="s">
        <v>20</v>
      </c>
      <c r="B22" s="4" t="s">
        <v>674</v>
      </c>
      <c r="C22" s="4" t="s">
        <v>678</v>
      </c>
      <c r="D22" s="4" t="s">
        <v>667</v>
      </c>
    </row>
    <row r="23" spans="1:4" x14ac:dyDescent="0.3">
      <c r="A23" s="4" t="s">
        <v>21</v>
      </c>
      <c r="B23" s="4" t="s">
        <v>674</v>
      </c>
      <c r="C23" s="4" t="s">
        <v>679</v>
      </c>
      <c r="D23" s="4" t="s">
        <v>667</v>
      </c>
    </row>
    <row r="24" spans="1:4" x14ac:dyDescent="0.3">
      <c r="A24" s="4" t="s">
        <v>22</v>
      </c>
      <c r="B24" s="4" t="s">
        <v>674</v>
      </c>
      <c r="C24" s="4" t="s">
        <v>680</v>
      </c>
      <c r="D24" s="4" t="s">
        <v>667</v>
      </c>
    </row>
    <row r="25" spans="1:4" x14ac:dyDescent="0.3">
      <c r="A25" s="4" t="s">
        <v>23</v>
      </c>
      <c r="B25" s="4" t="s">
        <v>681</v>
      </c>
      <c r="C25" s="4" t="s">
        <v>682</v>
      </c>
      <c r="D25" s="4" t="s">
        <v>667</v>
      </c>
    </row>
    <row r="26" spans="1:4" x14ac:dyDescent="0.3">
      <c r="A26" s="4" t="s">
        <v>24</v>
      </c>
      <c r="B26" s="4" t="s">
        <v>681</v>
      </c>
      <c r="C26" s="4" t="s">
        <v>683</v>
      </c>
      <c r="D26" s="4" t="s">
        <v>667</v>
      </c>
    </row>
    <row r="27" spans="1:4" x14ac:dyDescent="0.3">
      <c r="A27" s="4" t="s">
        <v>25</v>
      </c>
      <c r="B27" s="4" t="s">
        <v>681</v>
      </c>
      <c r="C27" s="4" t="s">
        <v>684</v>
      </c>
      <c r="D27" s="4" t="s">
        <v>667</v>
      </c>
    </row>
    <row r="28" spans="1:4" x14ac:dyDescent="0.3">
      <c r="A28" s="4" t="s">
        <v>26</v>
      </c>
      <c r="B28" s="4" t="s">
        <v>681</v>
      </c>
      <c r="C28" s="4" t="s">
        <v>685</v>
      </c>
      <c r="D28" s="4" t="s">
        <v>667</v>
      </c>
    </row>
    <row r="29" spans="1:4" x14ac:dyDescent="0.3">
      <c r="A29" s="4" t="s">
        <v>27</v>
      </c>
      <c r="B29" s="4" t="s">
        <v>686</v>
      </c>
      <c r="C29" s="4" t="s">
        <v>687</v>
      </c>
      <c r="D29" s="4" t="s">
        <v>688</v>
      </c>
    </row>
    <row r="30" spans="1:4" x14ac:dyDescent="0.3">
      <c r="A30" s="4" t="s">
        <v>28</v>
      </c>
      <c r="B30" s="4" t="s">
        <v>686</v>
      </c>
      <c r="C30" s="4" t="s">
        <v>689</v>
      </c>
      <c r="D30" s="4" t="s">
        <v>690</v>
      </c>
    </row>
    <row r="31" spans="1:4" x14ac:dyDescent="0.3">
      <c r="A31" s="4" t="s">
        <v>29</v>
      </c>
      <c r="B31" s="4" t="s">
        <v>686</v>
      </c>
      <c r="C31" s="4" t="s">
        <v>691</v>
      </c>
      <c r="D31" s="4" t="s">
        <v>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35" customWidth="1"/>
    <col min="2" max="2" width="15" customWidth="1"/>
  </cols>
  <sheetData>
    <row r="1" spans="1:2" x14ac:dyDescent="0.3">
      <c r="A1" s="7" t="s">
        <v>693</v>
      </c>
      <c r="B1" s="7" t="s">
        <v>694</v>
      </c>
    </row>
    <row r="2" spans="1:2" x14ac:dyDescent="0.3">
      <c r="A2" s="4" t="s">
        <v>695</v>
      </c>
      <c r="B2" s="8">
        <f>COUNTIF(Country_Dimension_Master!G:G, "Africa")</f>
        <v>36</v>
      </c>
    </row>
    <row r="3" spans="1:2" x14ac:dyDescent="0.3">
      <c r="A3" s="4" t="s">
        <v>696</v>
      </c>
      <c r="B3" s="8">
        <f>COUNTIF(Country_Dimension_Master!G:G, "Americas")</f>
        <v>27</v>
      </c>
    </row>
    <row r="4" spans="1:2" x14ac:dyDescent="0.3">
      <c r="A4" s="4" t="s">
        <v>697</v>
      </c>
      <c r="B4" s="8">
        <f>COUNTIF(Country_Dimension_Master!G:G, "Asia")</f>
        <v>46</v>
      </c>
    </row>
    <row r="5" spans="1:2" x14ac:dyDescent="0.3">
      <c r="A5" s="4" t="s">
        <v>698</v>
      </c>
      <c r="B5" s="8">
        <f>COUNTIF(Country_Dimension_Master!G:G, "Europe")</f>
        <v>41</v>
      </c>
    </row>
    <row r="6" spans="1:2" x14ac:dyDescent="0.3">
      <c r="A6" s="4" t="s">
        <v>699</v>
      </c>
      <c r="B6" s="8">
        <f>COUNTIF(Country_Dimension_Master!G:G, "Oceania")</f>
        <v>2</v>
      </c>
    </row>
    <row r="7" spans="1:2" x14ac:dyDescent="0.3">
      <c r="A7" s="4" t="s">
        <v>700</v>
      </c>
      <c r="B7" s="8">
        <f>COUNTIF(Country_Dimension_Master!L:L, "Yes")</f>
        <v>38</v>
      </c>
    </row>
    <row r="8" spans="1:2" x14ac:dyDescent="0.3">
      <c r="A8" s="4" t="s">
        <v>701</v>
      </c>
      <c r="B8" s="8">
        <f>COUNTIF(Country_Dimension_Master!M:M, "Yes")</f>
        <v>40</v>
      </c>
    </row>
    <row r="9" spans="1:2" x14ac:dyDescent="0.3">
      <c r="A9" s="4" t="s">
        <v>702</v>
      </c>
      <c r="B9" s="8">
        <f>COUNTIF(Country_Dimension_Master!V:V, "Yes")</f>
        <v>19</v>
      </c>
    </row>
    <row r="10" spans="1:2" x14ac:dyDescent="0.3">
      <c r="A10" s="4" t="s">
        <v>703</v>
      </c>
      <c r="B10" s="8">
        <f>COUNTIF(Country_Dimension_Master!R:R, "Yes")</f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Country_Dimension_Master</vt:lpstr>
      <vt:lpstr>Data Dictionary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Mohamed</cp:lastModifiedBy>
  <dcterms:created xsi:type="dcterms:W3CDTF">2026-06-26T09:34:56Z</dcterms:created>
  <dcterms:modified xsi:type="dcterms:W3CDTF">2026-07-01T16:45:06Z</dcterms:modified>
</cp:coreProperties>
</file>